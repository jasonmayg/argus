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ons" sheetId="1" state="visible" r:id="rId3"/>
    <sheet name="history" sheetId="2" state="visible" r:id="rId4"/>
    <sheet name="fx_rates" sheetId="3" state="visible" r:id="rId5"/>
  </sheets>
  <definedNames>
    <definedName function="false" hidden="true" localSheetId="1" name="_xlnm._FilterDatabase" vbProcedure="false">history!$A$3:$J$81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<sst xmlns="http://schemas.openxmlformats.org/spreadsheetml/2006/main" count="553" uniqueCount="93">
  <si>
    <t xml:space="preserve">ARGUS // GOOGLE TREASURY — GLOBAL CASH POSITIONS</t>
  </si>
  <si>
    <t xml:space="preserve">As of 2026-04-08 | Simulated Data | For Internal Use Only</t>
  </si>
  <si>
    <t xml:space="preserve">Country</t>
  </si>
  <si>
    <t xml:space="preserve">Legal Entity</t>
  </si>
  <si>
    <t xml:space="preserve">Region</t>
  </si>
  <si>
    <t xml:space="preserve">Currency</t>
  </si>
  <si>
    <t xml:space="preserve">FX Rate
(to USD)</t>
  </si>
  <si>
    <t xml:space="preserve">Local Balance</t>
  </si>
  <si>
    <t xml:space="preserve">USD Equivalent</t>
  </si>
  <si>
    <t xml:space="preserve">% of Total</t>
  </si>
  <si>
    <t xml:space="preserve">30-Day Change</t>
  </si>
  <si>
    <t xml:space="preserve">30-Day Δ USD</t>
  </si>
  <si>
    <t xml:space="preserve">Risk Level</t>
  </si>
  <si>
    <t xml:space="preserve">YTD Change</t>
  </si>
  <si>
    <t xml:space="preserve">Avg 90-Day USD</t>
  </si>
  <si>
    <t xml:space="preserve">Notes</t>
  </si>
  <si>
    <t xml:space="preserve">USA</t>
  </si>
  <si>
    <t xml:space="preserve">Google LLC</t>
  </si>
  <si>
    <t xml:space="preserve">Americas</t>
  </si>
  <si>
    <t xml:space="preserve">USD</t>
  </si>
  <si>
    <t xml:space="preserve">Low</t>
  </si>
  <si>
    <t xml:space="preserve">—</t>
  </si>
  <si>
    <t xml:space="preserve">Canada</t>
  </si>
  <si>
    <t xml:space="preserve">Google Canada Corp.</t>
  </si>
  <si>
    <t xml:space="preserve">CAD</t>
  </si>
  <si>
    <t xml:space="preserve">Brazil</t>
  </si>
  <si>
    <t xml:space="preserve">Google Brasil Internet</t>
  </si>
  <si>
    <t xml:space="preserve">BRL</t>
  </si>
  <si>
    <t xml:space="preserve">Medium</t>
  </si>
  <si>
    <t xml:space="preserve">IOF tax on FX conversions; monitor BRL volatility</t>
  </si>
  <si>
    <t xml:space="preserve">Mexico</t>
  </si>
  <si>
    <t xml:space="preserve">Google México S. de R.L.</t>
  </si>
  <si>
    <t xml:space="preserve">MXN</t>
  </si>
  <si>
    <t xml:space="preserve">Nearshoring inflows; BANXICO easing cycle</t>
  </si>
  <si>
    <t xml:space="preserve">UK</t>
  </si>
  <si>
    <t xml:space="preserve">Google UK Ltd.</t>
  </si>
  <si>
    <t xml:space="preserve">Europe</t>
  </si>
  <si>
    <t xml:space="preserve">GBP</t>
  </si>
  <si>
    <t xml:space="preserve">Germany</t>
  </si>
  <si>
    <t xml:space="preserve">Google Germany GmbH</t>
  </si>
  <si>
    <t xml:space="preserve">EUR</t>
  </si>
  <si>
    <t xml:space="preserve">France</t>
  </si>
  <si>
    <t xml:space="preserve">Google France SARL</t>
  </si>
  <si>
    <t xml:space="preserve">Japan</t>
  </si>
  <si>
    <t xml:space="preserve">Google Japan G.K.</t>
  </si>
  <si>
    <t xml:space="preserve">APAC</t>
  </si>
  <si>
    <t xml:space="preserve">JPY</t>
  </si>
  <si>
    <t xml:space="preserve">BOJ intervention risk; yen carry unwind exposure</t>
  </si>
  <si>
    <t xml:space="preserve">India</t>
  </si>
  <si>
    <t xml:space="preserve">Google India Pvt. Ltd.</t>
  </si>
  <si>
    <t xml:space="preserve">INR</t>
  </si>
  <si>
    <t xml:space="preserve">RBI FX reserves stable; INR managed float</t>
  </si>
  <si>
    <t xml:space="preserve">Australia</t>
  </si>
  <si>
    <t xml:space="preserve">Google Australia Pty Ltd.</t>
  </si>
  <si>
    <t xml:space="preserve">AUD</t>
  </si>
  <si>
    <t xml:space="preserve">China</t>
  </si>
  <si>
    <t xml:space="preserve">Google China Technology</t>
  </si>
  <si>
    <t xml:space="preserve">CNY</t>
  </si>
  <si>
    <t xml:space="preserve">High</t>
  </si>
  <si>
    <t xml:space="preserve">Capital controls apply; restricted repatriation</t>
  </si>
  <si>
    <t xml:space="preserve">South Korea</t>
  </si>
  <si>
    <t xml:space="preserve">Google Korea LLC</t>
  </si>
  <si>
    <t xml:space="preserve">KRW</t>
  </si>
  <si>
    <t xml:space="preserve">Hong Kong</t>
  </si>
  <si>
    <t xml:space="preserve">Google Asia Pacific Ltd.</t>
  </si>
  <si>
    <t xml:space="preserve">HKD</t>
  </si>
  <si>
    <t xml:space="preserve">USD peg maintained; monitor HKMA interventions</t>
  </si>
  <si>
    <t xml:space="preserve">TOTAL GLOBAL CASH</t>
  </si>
  <si>
    <t xml:space="preserve">ARGUS // GOOGLE TREASURY — HISTORICAL CASH POSITIONS (Monthly)</t>
  </si>
  <si>
    <t xml:space="preserve">Monthly end-of-period snapshots | Simulated Data</t>
  </si>
  <si>
    <t xml:space="preserve">Snapshot Date</t>
  </si>
  <si>
    <t xml:space="preserve">FX Rate</t>
  </si>
  <si>
    <t xml:space="preserve">MoM Change %</t>
  </si>
  <si>
    <t xml:space="preserve">ARGUS // FX RATES REFERENCE — USD Base</t>
  </si>
  <si>
    <t xml:space="preserve">Currency Pair</t>
  </si>
  <si>
    <t xml:space="preserve">Rate (to USD)</t>
  </si>
  <si>
    <t xml:space="preserve">Last Updated</t>
  </si>
  <si>
    <t xml:space="preserve">Source</t>
  </si>
  <si>
    <t xml:space="preserve">USD/USD</t>
  </si>
  <si>
    <t xml:space="preserve">2026-04-08</t>
  </si>
  <si>
    <t xml:space="preserve">Bloomberg / Simulated</t>
  </si>
  <si>
    <t xml:space="preserve">Update monthly or when rate moves &gt;2%</t>
  </si>
  <si>
    <t xml:space="preserve">CAD/USD</t>
  </si>
  <si>
    <t xml:space="preserve">BRL/USD</t>
  </si>
  <si>
    <t xml:space="preserve">MXN/USD</t>
  </si>
  <si>
    <t xml:space="preserve">GBP/USD</t>
  </si>
  <si>
    <t xml:space="preserve">EUR/USD</t>
  </si>
  <si>
    <t xml:space="preserve">JPY/USD</t>
  </si>
  <si>
    <t xml:space="preserve">INR/USD</t>
  </si>
  <si>
    <t xml:space="preserve">AUD/USD</t>
  </si>
  <si>
    <t xml:space="preserve">CNY/USD</t>
  </si>
  <si>
    <t xml:space="preserve">KRW/USD</t>
  </si>
  <si>
    <t xml:space="preserve">HKD/USD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</si>
</sst>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0"/>
    <numFmt numFmtId="166" formatCode="#,##0"/>
    <numFmt numFmtId="167" formatCode="\$#,##0"/>
    <numFmt numFmtId="168" formatCode="0.0%"/>
    <numFmt numFmtId="169" formatCode="\+0.0%;\-0.0%"/>
    <numFmt numFmtId="170" formatCode="\$#,##0;&quot;($&quot;#,##0\);\-"/>
    <numFmt numFmtId="171" formatCode="yyyy\-mm\-dd"/>
    <numFmt numFmtId="172" formatCode="0.00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A0E1A"/>
      <name val="Arial"/>
      <family val="0"/>
      <charset val="1"/>
    </font>
    <font>
      <i val="true"/>
      <sz val="9"/>
      <color rgb="FF71809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name val="Courier New"/>
      <family val="0"/>
      <charset val="1"/>
    </font>
    <font>
      <sz val="9"/>
      <color rgb="FF0000FF"/>
      <name val="Courier New"/>
      <family val="0"/>
      <charset val="1"/>
    </font>
    <font>
      <sz val="9"/>
      <color rgb="FF166534"/>
      <name val="Courier New"/>
      <family val="0"/>
      <charset val="1"/>
    </font>
    <font>
      <b val="true"/>
      <sz val="9"/>
      <color rgb="FF166534"/>
      <name val="Arial"/>
      <family val="0"/>
      <charset val="1"/>
    </font>
    <font>
      <sz val="9"/>
      <color rgb="FF991B1B"/>
      <name val="Courier New"/>
      <family val="0"/>
      <charset val="1"/>
    </font>
    <font>
      <i val="true"/>
      <sz val="8"/>
      <color rgb="FF718096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9"/>
      <color rgb="FF991B1B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FFFFFF"/>
      <name val="Courier New"/>
      <family val="0"/>
      <charset val="1"/>
    </font>
    <font>
      <b val="true"/>
      <sz val="9"/>
      <color rgb="FFFFFFFF"/>
      <name val="Courier Ne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A0E1A"/>
        <bgColor rgb="FF000000"/>
      </patternFill>
    </fill>
    <fill>
      <patternFill patternType="solid">
        <fgColor rgb="FFDCFCE7"/>
        <bgColor rgb="FFE2E8F0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1E3A5F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9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A0E1A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92400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718096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A0E1A"/>
      <rgbColor rgb="FF333300"/>
      <rgbColor rgb="FF9240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7" min="6" style="0" width="18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2" min="11" style="0" width="12"/>
    <col collapsed="false" customWidth="true" hidden="false" outlineLevel="0" max="13" min="13" style="0" width="18"/>
    <col collapsed="false" customWidth="true" hidden="false" outlineLevel="0" max="14" min="14" style="0" width="22"/>
  </cols>
  <sheetData>
    <row r="1" customFormat="false" ht="1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3.5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8" hidden="false" customHeight="true" outlineLevel="0" collapsed="false">
      <c r="A5" s="4" t="s">
        <v>16</v>
      </c>
      <c r="B5" s="5" t="s">
        <v>17</v>
      </c>
      <c r="C5" s="6" t="s">
        <v>18</v>
      </c>
      <c r="D5" s="7" t="s">
        <v>19</v>
      </c>
      <c r="E5" s="8" t="n">
        <v>1</v>
      </c>
      <c r="F5" s="9" t="n">
        <v>18420000000</v>
      </c>
      <c r="G5" s="10" t="n">
        <f aca="false">F5*E5</f>
        <v>18420000000</v>
      </c>
      <c r="H5" s="11" t="n">
        <f aca="false">G5/G$19</f>
        <v>0.444263073207544</v>
      </c>
      <c r="I5" s="12" t="n">
        <v>0.00754841186120954</v>
      </c>
      <c r="J5" s="13" t="n">
        <f aca="false">G5*I5</f>
        <v>139041746.48348</v>
      </c>
      <c r="K5" s="14" t="s">
        <v>20</v>
      </c>
      <c r="L5" s="15" t="n">
        <v>-0.0749978489554666</v>
      </c>
      <c r="M5" s="10" t="n">
        <v>17604985206</v>
      </c>
      <c r="N5" s="16" t="s">
        <v>21</v>
      </c>
    </row>
    <row r="6" customFormat="false" ht="18" hidden="false" customHeight="true" outlineLevel="0" collapsed="false">
      <c r="A6" s="17" t="s">
        <v>22</v>
      </c>
      <c r="B6" s="18" t="s">
        <v>23</v>
      </c>
      <c r="C6" s="19" t="s">
        <v>18</v>
      </c>
      <c r="D6" s="20" t="s">
        <v>24</v>
      </c>
      <c r="E6" s="8" t="n">
        <v>0.7312</v>
      </c>
      <c r="F6" s="21" t="n">
        <v>2530087527</v>
      </c>
      <c r="G6" s="22" t="n">
        <f aca="false">F6*E6</f>
        <v>1849999999.7424</v>
      </c>
      <c r="H6" s="11" t="n">
        <f aca="false">G6/G$19</f>
        <v>0.0446192554462277</v>
      </c>
      <c r="I6" s="23" t="n">
        <v>-0.029911033566606</v>
      </c>
      <c r="J6" s="24" t="n">
        <f aca="false">G6*I6</f>
        <v>-55335412.0905159</v>
      </c>
      <c r="K6" s="14" t="s">
        <v>20</v>
      </c>
      <c r="L6" s="25" t="n">
        <v>0.0672942428328025</v>
      </c>
      <c r="M6" s="22" t="n">
        <v>1864746227</v>
      </c>
      <c r="N6" s="26" t="s">
        <v>21</v>
      </c>
    </row>
    <row r="7" customFormat="false" ht="18" hidden="false" customHeight="true" outlineLevel="0" collapsed="false">
      <c r="A7" s="4" t="s">
        <v>25</v>
      </c>
      <c r="B7" s="5" t="s">
        <v>26</v>
      </c>
      <c r="C7" s="6" t="s">
        <v>18</v>
      </c>
      <c r="D7" s="7" t="s">
        <v>27</v>
      </c>
      <c r="E7" s="8" t="n">
        <v>0.1843</v>
      </c>
      <c r="F7" s="9" t="n">
        <v>3239131850</v>
      </c>
      <c r="G7" s="10" t="n">
        <f aca="false">F7*E7</f>
        <v>596971999.955</v>
      </c>
      <c r="H7" s="11" t="n">
        <f aca="false">G7/G$19</f>
        <v>0.0143980790075387</v>
      </c>
      <c r="I7" s="12" t="n">
        <v>0.0302961610934361</v>
      </c>
      <c r="J7" s="13" t="n">
        <f aca="false">G7*I7</f>
        <v>18085959.8789074</v>
      </c>
      <c r="K7" s="27" t="s">
        <v>28</v>
      </c>
      <c r="L7" s="15" t="n">
        <v>-0.0626122334741168</v>
      </c>
      <c r="M7" s="10" t="n">
        <v>581958057</v>
      </c>
      <c r="N7" s="16" t="s">
        <v>29</v>
      </c>
    </row>
    <row r="8" customFormat="false" ht="18" hidden="false" customHeight="true" outlineLevel="0" collapsed="false">
      <c r="A8" s="17" t="s">
        <v>30</v>
      </c>
      <c r="B8" s="18" t="s">
        <v>31</v>
      </c>
      <c r="C8" s="19" t="s">
        <v>18</v>
      </c>
      <c r="D8" s="20" t="s">
        <v>32</v>
      </c>
      <c r="E8" s="8" t="n">
        <v>0.0521</v>
      </c>
      <c r="F8" s="21" t="n">
        <v>2180000000</v>
      </c>
      <c r="G8" s="22" t="n">
        <f aca="false">F8*E8</f>
        <v>113578000</v>
      </c>
      <c r="H8" s="11" t="n">
        <f aca="false">G8/G$19</f>
        <v>0.00273933286258233</v>
      </c>
      <c r="I8" s="23" t="n">
        <v>-0.0473182502505737</v>
      </c>
      <c r="J8" s="24" t="n">
        <f aca="false">G8*I8</f>
        <v>-5374312.22695966</v>
      </c>
      <c r="K8" s="27" t="s">
        <v>28</v>
      </c>
      <c r="L8" s="23" t="n">
        <v>-0.0362724050392793</v>
      </c>
      <c r="M8" s="22" t="n">
        <v>111953402</v>
      </c>
      <c r="N8" s="26" t="s">
        <v>33</v>
      </c>
    </row>
    <row r="9" customFormat="false" ht="18" hidden="false" customHeight="true" outlineLevel="0" collapsed="false">
      <c r="A9" s="4" t="s">
        <v>34</v>
      </c>
      <c r="B9" s="5" t="s">
        <v>35</v>
      </c>
      <c r="C9" s="6" t="s">
        <v>36</v>
      </c>
      <c r="D9" s="7" t="s">
        <v>37</v>
      </c>
      <c r="E9" s="8" t="n">
        <v>1.2634</v>
      </c>
      <c r="F9" s="9" t="n">
        <v>3894253601</v>
      </c>
      <c r="G9" s="10" t="n">
        <f aca="false">F9*E9</f>
        <v>4919999999.5034</v>
      </c>
      <c r="H9" s="11" t="n">
        <f aca="false">G9/G$19</f>
        <v>0.118663100975054</v>
      </c>
      <c r="I9" s="15" t="n">
        <v>-0.0476117627284523</v>
      </c>
      <c r="J9" s="13" t="n">
        <f aca="false">G9*I9</f>
        <v>-234249872.600341</v>
      </c>
      <c r="K9" s="14" t="s">
        <v>20</v>
      </c>
      <c r="L9" s="15" t="n">
        <v>-0.0402324698626703</v>
      </c>
      <c r="M9" s="10" t="n">
        <v>4942066086</v>
      </c>
      <c r="N9" s="16" t="s">
        <v>21</v>
      </c>
    </row>
    <row r="10" customFormat="false" ht="18" hidden="false" customHeight="true" outlineLevel="0" collapsed="false">
      <c r="A10" s="17" t="s">
        <v>38</v>
      </c>
      <c r="B10" s="18" t="s">
        <v>39</v>
      </c>
      <c r="C10" s="19" t="s">
        <v>36</v>
      </c>
      <c r="D10" s="20" t="s">
        <v>40</v>
      </c>
      <c r="E10" s="8" t="n">
        <v>1.0821</v>
      </c>
      <c r="F10" s="21" t="n">
        <v>3391553461</v>
      </c>
      <c r="G10" s="22" t="n">
        <f aca="false">F10*E10</f>
        <v>3670000000.1481</v>
      </c>
      <c r="H10" s="11" t="n">
        <f aca="false">G10/G$19</f>
        <v>0.0885149554146299</v>
      </c>
      <c r="I10" s="23" t="n">
        <v>-0.000955266745710501</v>
      </c>
      <c r="J10" s="24" t="n">
        <f aca="false">G10*I10</f>
        <v>-3505828.95689902</v>
      </c>
      <c r="K10" s="14" t="s">
        <v>20</v>
      </c>
      <c r="L10" s="23" t="n">
        <v>-0.0359118755918607</v>
      </c>
      <c r="M10" s="22" t="n">
        <v>3657538658</v>
      </c>
      <c r="N10" s="26" t="s">
        <v>21</v>
      </c>
    </row>
    <row r="11" customFormat="false" ht="18" hidden="false" customHeight="true" outlineLevel="0" collapsed="false">
      <c r="A11" s="4" t="s">
        <v>41</v>
      </c>
      <c r="B11" s="5" t="s">
        <v>42</v>
      </c>
      <c r="C11" s="6" t="s">
        <v>36</v>
      </c>
      <c r="D11" s="7" t="s">
        <v>40</v>
      </c>
      <c r="E11" s="8" t="n">
        <v>1.0821</v>
      </c>
      <c r="F11" s="9" t="n">
        <v>1977636078</v>
      </c>
      <c r="G11" s="10" t="n">
        <f aca="false">F11*E11</f>
        <v>2140000000.0038</v>
      </c>
      <c r="H11" s="11" t="n">
        <f aca="false">G11/G$19</f>
        <v>0.0516136252261581</v>
      </c>
      <c r="I11" s="12" t="n">
        <v>0.0228487411010044</v>
      </c>
      <c r="J11" s="13" t="n">
        <f aca="false">G11*I11</f>
        <v>48896305.9562363</v>
      </c>
      <c r="K11" s="14" t="s">
        <v>20</v>
      </c>
      <c r="L11" s="15" t="n">
        <v>-0.0787002480643878</v>
      </c>
      <c r="M11" s="10" t="n">
        <v>2192978916</v>
      </c>
      <c r="N11" s="16" t="s">
        <v>21</v>
      </c>
    </row>
    <row r="12" customFormat="false" ht="18" hidden="false" customHeight="true" outlineLevel="0" collapsed="false">
      <c r="A12" s="17" t="s">
        <v>43</v>
      </c>
      <c r="B12" s="18" t="s">
        <v>44</v>
      </c>
      <c r="C12" s="19" t="s">
        <v>45</v>
      </c>
      <c r="D12" s="20" t="s">
        <v>46</v>
      </c>
      <c r="E12" s="8" t="n">
        <v>0.00667</v>
      </c>
      <c r="F12" s="21" t="n">
        <v>312000000000</v>
      </c>
      <c r="G12" s="22" t="n">
        <f aca="false">F12*E12</f>
        <v>2081040000</v>
      </c>
      <c r="H12" s="11" t="n">
        <f aca="false">G12/G$19</f>
        <v>0.0501915974955389</v>
      </c>
      <c r="I12" s="25" t="n">
        <v>0.0128325455489404</v>
      </c>
      <c r="J12" s="24" t="n">
        <f aca="false">G12*I12</f>
        <v>26705040.589167</v>
      </c>
      <c r="K12" s="27" t="s">
        <v>28</v>
      </c>
      <c r="L12" s="23" t="n">
        <v>-0.0119498966964016</v>
      </c>
      <c r="M12" s="22" t="n">
        <v>1956619478</v>
      </c>
      <c r="N12" s="26" t="s">
        <v>47</v>
      </c>
    </row>
    <row r="13" customFormat="false" ht="18" hidden="false" customHeight="true" outlineLevel="0" collapsed="false">
      <c r="A13" s="4" t="s">
        <v>48</v>
      </c>
      <c r="B13" s="5" t="s">
        <v>49</v>
      </c>
      <c r="C13" s="6" t="s">
        <v>45</v>
      </c>
      <c r="D13" s="7" t="s">
        <v>50</v>
      </c>
      <c r="E13" s="8" t="n">
        <v>0.01196</v>
      </c>
      <c r="F13" s="9" t="n">
        <v>98486622074</v>
      </c>
      <c r="G13" s="10" t="n">
        <f aca="false">F13*E13</f>
        <v>1177900000.00504</v>
      </c>
      <c r="H13" s="11" t="n">
        <f aca="false">G13/G$19</f>
        <v>0.0284092005392728</v>
      </c>
      <c r="I13" s="12" t="n">
        <v>0.0361491764986103</v>
      </c>
      <c r="J13" s="13" t="n">
        <f aca="false">G13*I13</f>
        <v>42580114.9978953</v>
      </c>
      <c r="K13" s="27" t="s">
        <v>28</v>
      </c>
      <c r="L13" s="15" t="n">
        <v>-0.0126810909774746</v>
      </c>
      <c r="M13" s="10" t="n">
        <v>1097869893</v>
      </c>
      <c r="N13" s="16" t="s">
        <v>51</v>
      </c>
    </row>
    <row r="14" customFormat="false" ht="18" hidden="false" customHeight="true" outlineLevel="0" collapsed="false">
      <c r="A14" s="17" t="s">
        <v>52</v>
      </c>
      <c r="B14" s="18" t="s">
        <v>53</v>
      </c>
      <c r="C14" s="19" t="s">
        <v>45</v>
      </c>
      <c r="D14" s="20" t="s">
        <v>54</v>
      </c>
      <c r="E14" s="8" t="n">
        <v>0.6341</v>
      </c>
      <c r="F14" s="21" t="n">
        <v>1620000000</v>
      </c>
      <c r="G14" s="22" t="n">
        <f aca="false">F14*E14</f>
        <v>1027242000</v>
      </c>
      <c r="H14" s="11" t="n">
        <f aca="false">G14/G$19</f>
        <v>0.0247755530862033</v>
      </c>
      <c r="I14" s="23" t="n">
        <v>-0.0412955260849882</v>
      </c>
      <c r="J14" s="24" t="n">
        <f aca="false">G14*I14</f>
        <v>-42420498.8065955</v>
      </c>
      <c r="K14" s="14" t="s">
        <v>20</v>
      </c>
      <c r="L14" s="25" t="n">
        <v>0.089498873269492</v>
      </c>
      <c r="M14" s="22" t="n">
        <v>1025685096</v>
      </c>
      <c r="N14" s="26" t="s">
        <v>21</v>
      </c>
    </row>
    <row r="15" customFormat="false" ht="18" hidden="false" customHeight="true" outlineLevel="0" collapsed="false">
      <c r="A15" s="4" t="s">
        <v>55</v>
      </c>
      <c r="B15" s="5" t="s">
        <v>56</v>
      </c>
      <c r="C15" s="6" t="s">
        <v>45</v>
      </c>
      <c r="D15" s="7" t="s">
        <v>57</v>
      </c>
      <c r="E15" s="8" t="n">
        <v>0.1376</v>
      </c>
      <c r="F15" s="9" t="n">
        <v>8450000000</v>
      </c>
      <c r="G15" s="10" t="n">
        <f aca="false">F15*E15</f>
        <v>1162720000</v>
      </c>
      <c r="H15" s="11" t="n">
        <f aca="false">G15/G$19</f>
        <v>0.0280430814592766</v>
      </c>
      <c r="I15" s="12" t="n">
        <v>0.0226415445946942</v>
      </c>
      <c r="J15" s="13" t="n">
        <f aca="false">G15*I15</f>
        <v>26325776.7311429</v>
      </c>
      <c r="K15" s="28" t="s">
        <v>58</v>
      </c>
      <c r="L15" s="12" t="n">
        <v>0.0659463573387636</v>
      </c>
      <c r="M15" s="10" t="n">
        <v>1150755206</v>
      </c>
      <c r="N15" s="16" t="s">
        <v>59</v>
      </c>
    </row>
    <row r="16" customFormat="false" ht="18" hidden="false" customHeight="true" outlineLevel="0" collapsed="false">
      <c r="A16" s="17" t="s">
        <v>60</v>
      </c>
      <c r="B16" s="18" t="s">
        <v>61</v>
      </c>
      <c r="C16" s="19" t="s">
        <v>45</v>
      </c>
      <c r="D16" s="20" t="s">
        <v>62</v>
      </c>
      <c r="E16" s="8" t="n">
        <v>0.000724</v>
      </c>
      <c r="F16" s="21" t="n">
        <v>4820000000000</v>
      </c>
      <c r="G16" s="22" t="n">
        <f aca="false">F16*E16</f>
        <v>3489680000</v>
      </c>
      <c r="H16" s="11" t="n">
        <f aca="false">G16/G$19</f>
        <v>0.0841659045228503</v>
      </c>
      <c r="I16" s="25" t="n">
        <v>0.0375804187581434</v>
      </c>
      <c r="J16" s="24" t="n">
        <f aca="false">G16*I16</f>
        <v>131143635.731918</v>
      </c>
      <c r="K16" s="14" t="s">
        <v>20</v>
      </c>
      <c r="L16" s="23" t="n">
        <v>-0.0042931245583293</v>
      </c>
      <c r="M16" s="22" t="n">
        <v>3460943470</v>
      </c>
      <c r="N16" s="26" t="s">
        <v>21</v>
      </c>
    </row>
    <row r="17" customFormat="false" ht="18" hidden="false" customHeight="true" outlineLevel="0" collapsed="false">
      <c r="A17" s="4" t="s">
        <v>63</v>
      </c>
      <c r="B17" s="5" t="s">
        <v>64</v>
      </c>
      <c r="C17" s="6" t="s">
        <v>45</v>
      </c>
      <c r="D17" s="7" t="s">
        <v>65</v>
      </c>
      <c r="E17" s="8" t="n">
        <v>0.1282</v>
      </c>
      <c r="F17" s="9" t="n">
        <v>6340000000</v>
      </c>
      <c r="G17" s="10" t="n">
        <f aca="false">F17*E17</f>
        <v>812788000</v>
      </c>
      <c r="H17" s="11" t="n">
        <f aca="false">G17/G$19</f>
        <v>0.0196032407571234</v>
      </c>
      <c r="I17" s="12" t="n">
        <v>0.0246464197827695</v>
      </c>
      <c r="J17" s="13" t="n">
        <f aca="false">G17*I17</f>
        <v>20032314.2423977</v>
      </c>
      <c r="K17" s="27" t="s">
        <v>28</v>
      </c>
      <c r="L17" s="12" t="n">
        <v>0.0437039504728492</v>
      </c>
      <c r="M17" s="10" t="n">
        <v>838815014</v>
      </c>
      <c r="N17" s="16" t="s">
        <v>66</v>
      </c>
    </row>
    <row r="19" customFormat="false" ht="21.75" hidden="false" customHeight="true" outlineLevel="0" collapsed="false">
      <c r="A19" s="29" t="s">
        <v>67</v>
      </c>
      <c r="B19" s="29"/>
      <c r="C19" s="29"/>
      <c r="D19" s="29"/>
      <c r="E19" s="30" t="s">
        <v>21</v>
      </c>
      <c r="F19" s="30" t="s">
        <v>21</v>
      </c>
      <c r="G19" s="31" t="n">
        <f aca="false">SUM(G5:G17)</f>
        <v>41461919999.3577</v>
      </c>
      <c r="H19" s="32" t="n">
        <v>1</v>
      </c>
      <c r="I19" s="33"/>
      <c r="J19" s="34" t="n">
        <f aca="false">SUM(J5:J17)</f>
        <v>111924969.929833</v>
      </c>
      <c r="K19" s="33"/>
      <c r="L19" s="33"/>
      <c r="M19" s="33"/>
      <c r="N19" s="33"/>
    </row>
  </sheetData>
  <mergeCells count="3">
    <mergeCell ref="A1:N1"/>
    <mergeCell ref="A2:N2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18"/>
    <col collapsed="false" customWidth="true" hidden="false" outlineLevel="0" max="8" min="8" style="0" width="14"/>
    <col collapsed="false" customWidth="true" hidden="false" outlineLevel="0" max="10" min="9" style="0" width="12"/>
  </cols>
  <sheetData>
    <row r="1" customFormat="false" ht="19.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</row>
    <row r="2" customFormat="false" ht="13.5" hidden="false" customHeight="true" outlineLevel="0" collapsed="false">
      <c r="A2" s="35" t="s">
        <v>69</v>
      </c>
      <c r="B2" s="35"/>
      <c r="C2" s="35"/>
      <c r="D2" s="35"/>
      <c r="E2" s="35"/>
      <c r="F2" s="35"/>
      <c r="G2" s="35"/>
    </row>
    <row r="3" customFormat="false" ht="24" hidden="false" customHeight="true" outlineLevel="0" collapsed="false">
      <c r="A3" s="3" t="s">
        <v>70</v>
      </c>
      <c r="B3" s="3" t="s">
        <v>2</v>
      </c>
      <c r="C3" s="3" t="s">
        <v>3</v>
      </c>
      <c r="D3" s="3" t="s">
        <v>5</v>
      </c>
      <c r="E3" s="3" t="s">
        <v>71</v>
      </c>
      <c r="F3" s="3" t="s">
        <v>7</v>
      </c>
      <c r="G3" s="3" t="s">
        <v>8</v>
      </c>
      <c r="H3" s="3" t="s">
        <v>72</v>
      </c>
      <c r="I3" s="3" t="s">
        <v>12</v>
      </c>
      <c r="J3" s="3" t="s">
        <v>4</v>
      </c>
    </row>
    <row r="4" customFormat="false" ht="15.75" hidden="false" customHeight="true" outlineLevel="0" collapsed="false">
      <c r="A4" s="36" t="n">
        <v>45931</v>
      </c>
      <c r="B4" s="17" t="s">
        <v>16</v>
      </c>
      <c r="C4" s="18" t="s">
        <v>17</v>
      </c>
      <c r="D4" s="19" t="s">
        <v>19</v>
      </c>
      <c r="E4" s="37" t="n">
        <v>0.9807</v>
      </c>
      <c r="F4" s="38" t="n">
        <v>18053785485</v>
      </c>
      <c r="G4" s="22" t="n">
        <v>18053785485</v>
      </c>
      <c r="H4" s="23" t="n">
        <v>-0.0201254945199225</v>
      </c>
      <c r="I4" s="14" t="s">
        <v>20</v>
      </c>
      <c r="J4" s="19" t="s">
        <v>18</v>
      </c>
    </row>
    <row r="5" customFormat="false" ht="15.75" hidden="false" customHeight="true" outlineLevel="0" collapsed="false">
      <c r="A5" s="39" t="n">
        <v>45931</v>
      </c>
      <c r="B5" s="4" t="s">
        <v>22</v>
      </c>
      <c r="C5" s="5" t="s">
        <v>23</v>
      </c>
      <c r="D5" s="6" t="s">
        <v>24</v>
      </c>
      <c r="E5" s="40" t="n">
        <v>0.7261</v>
      </c>
      <c r="F5" s="41" t="n">
        <v>2505264851</v>
      </c>
      <c r="G5" s="10" t="n">
        <v>1831849659</v>
      </c>
      <c r="H5" s="12" t="n">
        <v>0.0147446910741855</v>
      </c>
      <c r="I5" s="14" t="s">
        <v>20</v>
      </c>
      <c r="J5" s="6" t="s">
        <v>18</v>
      </c>
    </row>
    <row r="6" customFormat="false" ht="15.75" hidden="false" customHeight="true" outlineLevel="0" collapsed="false">
      <c r="A6" s="36" t="n">
        <v>45931</v>
      </c>
      <c r="B6" s="17" t="s">
        <v>25</v>
      </c>
      <c r="C6" s="18" t="s">
        <v>26</v>
      </c>
      <c r="D6" s="19" t="s">
        <v>27</v>
      </c>
      <c r="E6" s="37" t="n">
        <v>0.1842</v>
      </c>
      <c r="F6" s="38" t="n">
        <v>3326897797</v>
      </c>
      <c r="G6" s="22" t="n">
        <v>613147264</v>
      </c>
      <c r="H6" s="23" t="n">
        <v>-0.00626885669098758</v>
      </c>
      <c r="I6" s="27" t="s">
        <v>28</v>
      </c>
      <c r="J6" s="19" t="s">
        <v>18</v>
      </c>
    </row>
    <row r="7" customFormat="false" ht="15.75" hidden="false" customHeight="true" outlineLevel="0" collapsed="false">
      <c r="A7" s="39" t="n">
        <v>45931</v>
      </c>
      <c r="B7" s="4" t="s">
        <v>30</v>
      </c>
      <c r="C7" s="5" t="s">
        <v>31</v>
      </c>
      <c r="D7" s="6" t="s">
        <v>32</v>
      </c>
      <c r="E7" s="40" t="n">
        <v>0.0534</v>
      </c>
      <c r="F7" s="41" t="n">
        <v>2147795662</v>
      </c>
      <c r="G7" s="10" t="n">
        <v>111900154</v>
      </c>
      <c r="H7" s="15" t="n">
        <v>-0.0100816173420397</v>
      </c>
      <c r="I7" s="27" t="s">
        <v>28</v>
      </c>
      <c r="J7" s="6" t="s">
        <v>18</v>
      </c>
    </row>
    <row r="8" customFormat="false" ht="15.75" hidden="false" customHeight="true" outlineLevel="0" collapsed="false">
      <c r="A8" s="36" t="n">
        <v>45931</v>
      </c>
      <c r="B8" s="17" t="s">
        <v>34</v>
      </c>
      <c r="C8" s="18" t="s">
        <v>35</v>
      </c>
      <c r="D8" s="19" t="s">
        <v>37</v>
      </c>
      <c r="E8" s="37" t="n">
        <v>1.237</v>
      </c>
      <c r="F8" s="38" t="n">
        <v>3928055256</v>
      </c>
      <c r="G8" s="22" t="n">
        <v>4962705010</v>
      </c>
      <c r="H8" s="25" t="n">
        <v>0.0128454316729313</v>
      </c>
      <c r="I8" s="14" t="s">
        <v>20</v>
      </c>
      <c r="J8" s="19" t="s">
        <v>36</v>
      </c>
    </row>
    <row r="9" customFormat="false" ht="15.75" hidden="false" customHeight="true" outlineLevel="0" collapsed="false">
      <c r="A9" s="39" t="n">
        <v>45931</v>
      </c>
      <c r="B9" s="4" t="s">
        <v>38</v>
      </c>
      <c r="C9" s="5" t="s">
        <v>39</v>
      </c>
      <c r="D9" s="6" t="s">
        <v>40</v>
      </c>
      <c r="E9" s="40" t="n">
        <v>1.1111</v>
      </c>
      <c r="F9" s="41" t="n">
        <v>3382260785</v>
      </c>
      <c r="G9" s="10" t="n">
        <v>3659944395</v>
      </c>
      <c r="H9" s="12" t="n">
        <v>0.00229729335151762</v>
      </c>
      <c r="I9" s="14" t="s">
        <v>20</v>
      </c>
      <c r="J9" s="6" t="s">
        <v>36</v>
      </c>
    </row>
    <row r="10" customFormat="false" ht="15.75" hidden="false" customHeight="true" outlineLevel="0" collapsed="false">
      <c r="A10" s="36" t="n">
        <v>45931</v>
      </c>
      <c r="B10" s="17" t="s">
        <v>41</v>
      </c>
      <c r="C10" s="18" t="s">
        <v>42</v>
      </c>
      <c r="D10" s="19" t="s">
        <v>40</v>
      </c>
      <c r="E10" s="37" t="n">
        <v>1.0758</v>
      </c>
      <c r="F10" s="38" t="n">
        <v>1984798317</v>
      </c>
      <c r="G10" s="22" t="n">
        <v>2147750259</v>
      </c>
      <c r="H10" s="23" t="n">
        <v>-0.0184480628025818</v>
      </c>
      <c r="I10" s="14" t="s">
        <v>20</v>
      </c>
      <c r="J10" s="19" t="s">
        <v>36</v>
      </c>
    </row>
    <row r="11" customFormat="false" ht="15.75" hidden="false" customHeight="true" outlineLevel="0" collapsed="false">
      <c r="A11" s="39" t="n">
        <v>45931</v>
      </c>
      <c r="B11" s="4" t="s">
        <v>43</v>
      </c>
      <c r="C11" s="5" t="s">
        <v>44</v>
      </c>
      <c r="D11" s="6" t="s">
        <v>46</v>
      </c>
      <c r="E11" s="40" t="n">
        <v>0.0069</v>
      </c>
      <c r="F11" s="41" t="n">
        <v>303436627436</v>
      </c>
      <c r="G11" s="10" t="n">
        <v>2023922305</v>
      </c>
      <c r="H11" s="12" t="n">
        <v>0.00274480228472735</v>
      </c>
      <c r="I11" s="27" t="s">
        <v>28</v>
      </c>
      <c r="J11" s="6" t="s">
        <v>45</v>
      </c>
    </row>
    <row r="12" customFormat="false" ht="15.75" hidden="false" customHeight="true" outlineLevel="0" collapsed="false">
      <c r="A12" s="36" t="n">
        <v>45931</v>
      </c>
      <c r="B12" s="17" t="s">
        <v>48</v>
      </c>
      <c r="C12" s="18" t="s">
        <v>49</v>
      </c>
      <c r="D12" s="19" t="s">
        <v>50</v>
      </c>
      <c r="E12" s="37" t="n">
        <v>0.012</v>
      </c>
      <c r="F12" s="38" t="n">
        <v>100775260117</v>
      </c>
      <c r="G12" s="22" t="n">
        <v>1205272111</v>
      </c>
      <c r="H12" s="25" t="n">
        <v>0.0381369507618653</v>
      </c>
      <c r="I12" s="27" t="s">
        <v>28</v>
      </c>
      <c r="J12" s="19" t="s">
        <v>45</v>
      </c>
    </row>
    <row r="13" customFormat="false" ht="15.75" hidden="false" customHeight="true" outlineLevel="0" collapsed="false">
      <c r="A13" s="39" t="n">
        <v>45931</v>
      </c>
      <c r="B13" s="4" t="s">
        <v>52</v>
      </c>
      <c r="C13" s="5" t="s">
        <v>53</v>
      </c>
      <c r="D13" s="6" t="s">
        <v>54</v>
      </c>
      <c r="E13" s="40" t="n">
        <v>0.6501</v>
      </c>
      <c r="F13" s="41" t="n">
        <v>1587840543</v>
      </c>
      <c r="G13" s="10" t="n">
        <v>1006849688</v>
      </c>
      <c r="H13" s="15" t="n">
        <v>-0.0271350432947229</v>
      </c>
      <c r="I13" s="14" t="s">
        <v>20</v>
      </c>
      <c r="J13" s="6" t="s">
        <v>45</v>
      </c>
    </row>
    <row r="14" customFormat="false" ht="15.75" hidden="false" customHeight="true" outlineLevel="0" collapsed="false">
      <c r="A14" s="36" t="n">
        <v>45931</v>
      </c>
      <c r="B14" s="17" t="s">
        <v>55</v>
      </c>
      <c r="C14" s="18" t="s">
        <v>56</v>
      </c>
      <c r="D14" s="19" t="s">
        <v>57</v>
      </c>
      <c r="E14" s="37" t="n">
        <v>0.1416</v>
      </c>
      <c r="F14" s="38" t="n">
        <v>8547979855</v>
      </c>
      <c r="G14" s="22" t="n">
        <v>1176202028</v>
      </c>
      <c r="H14" s="25" t="n">
        <v>0.035512847604272</v>
      </c>
      <c r="I14" s="28" t="s">
        <v>58</v>
      </c>
      <c r="J14" s="19" t="s">
        <v>45</v>
      </c>
    </row>
    <row r="15" customFormat="false" ht="15.75" hidden="false" customHeight="true" outlineLevel="0" collapsed="false">
      <c r="A15" s="39" t="n">
        <v>45931</v>
      </c>
      <c r="B15" s="4" t="s">
        <v>60</v>
      </c>
      <c r="C15" s="5" t="s">
        <v>61</v>
      </c>
      <c r="D15" s="6" t="s">
        <v>62</v>
      </c>
      <c r="E15" s="40" t="n">
        <v>0.0007</v>
      </c>
      <c r="F15" s="41" t="n">
        <v>4701142042818</v>
      </c>
      <c r="G15" s="10" t="n">
        <v>3403626839</v>
      </c>
      <c r="H15" s="15" t="n">
        <v>-0.00210184950598198</v>
      </c>
      <c r="I15" s="14" t="s">
        <v>20</v>
      </c>
      <c r="J15" s="6" t="s">
        <v>45</v>
      </c>
    </row>
    <row r="16" customFormat="false" ht="15.75" hidden="false" customHeight="true" outlineLevel="0" collapsed="false">
      <c r="A16" s="36" t="n">
        <v>45931</v>
      </c>
      <c r="B16" s="17" t="s">
        <v>63</v>
      </c>
      <c r="C16" s="18" t="s">
        <v>64</v>
      </c>
      <c r="D16" s="19" t="s">
        <v>65</v>
      </c>
      <c r="E16" s="37" t="n">
        <v>0.1276</v>
      </c>
      <c r="F16" s="38" t="n">
        <v>6220188596</v>
      </c>
      <c r="G16" s="22" t="n">
        <v>797428178</v>
      </c>
      <c r="H16" s="23" t="n">
        <v>-0.0331184887034228</v>
      </c>
      <c r="I16" s="27" t="s">
        <v>28</v>
      </c>
      <c r="J16" s="19" t="s">
        <v>45</v>
      </c>
    </row>
    <row r="17" customFormat="false" ht="15.75" hidden="false" customHeight="true" outlineLevel="0" collapsed="false">
      <c r="A17" s="39" t="n">
        <v>45962</v>
      </c>
      <c r="B17" s="4" t="s">
        <v>16</v>
      </c>
      <c r="C17" s="5" t="s">
        <v>17</v>
      </c>
      <c r="D17" s="6" t="s">
        <v>19</v>
      </c>
      <c r="E17" s="40" t="n">
        <v>0.9898</v>
      </c>
      <c r="F17" s="41" t="n">
        <v>17737686324</v>
      </c>
      <c r="G17" s="10" t="n">
        <v>17737686324</v>
      </c>
      <c r="H17" s="12" t="n">
        <v>0.00187216663678306</v>
      </c>
      <c r="I17" s="14" t="s">
        <v>20</v>
      </c>
      <c r="J17" s="6" t="s">
        <v>18</v>
      </c>
    </row>
    <row r="18" customFormat="false" ht="15.75" hidden="false" customHeight="true" outlineLevel="0" collapsed="false">
      <c r="A18" s="36" t="n">
        <v>45962</v>
      </c>
      <c r="B18" s="17" t="s">
        <v>22</v>
      </c>
      <c r="C18" s="18" t="s">
        <v>23</v>
      </c>
      <c r="D18" s="19" t="s">
        <v>24</v>
      </c>
      <c r="E18" s="37" t="n">
        <v>0.7117</v>
      </c>
      <c r="F18" s="38" t="n">
        <v>2542885926</v>
      </c>
      <c r="G18" s="22" t="n">
        <v>1859358189</v>
      </c>
      <c r="H18" s="23" t="n">
        <v>-0.023085185621397</v>
      </c>
      <c r="I18" s="14" t="s">
        <v>20</v>
      </c>
      <c r="J18" s="19" t="s">
        <v>18</v>
      </c>
    </row>
    <row r="19" customFormat="false" ht="15.75" hidden="false" customHeight="true" outlineLevel="0" collapsed="false">
      <c r="A19" s="39" t="n">
        <v>45962</v>
      </c>
      <c r="B19" s="4" t="s">
        <v>25</v>
      </c>
      <c r="C19" s="5" t="s">
        <v>26</v>
      </c>
      <c r="D19" s="6" t="s">
        <v>27</v>
      </c>
      <c r="E19" s="40" t="n">
        <v>0.1872</v>
      </c>
      <c r="F19" s="41" t="n">
        <v>3189258736</v>
      </c>
      <c r="G19" s="10" t="n">
        <v>587780385</v>
      </c>
      <c r="H19" s="15" t="n">
        <v>-0.0116953182570026</v>
      </c>
      <c r="I19" s="27" t="s">
        <v>28</v>
      </c>
      <c r="J19" s="6" t="s">
        <v>18</v>
      </c>
    </row>
    <row r="20" customFormat="false" ht="15.75" hidden="false" customHeight="true" outlineLevel="0" collapsed="false">
      <c r="A20" s="36" t="n">
        <v>45962</v>
      </c>
      <c r="B20" s="17" t="s">
        <v>30</v>
      </c>
      <c r="C20" s="18" t="s">
        <v>31</v>
      </c>
      <c r="D20" s="19" t="s">
        <v>32</v>
      </c>
      <c r="E20" s="37" t="n">
        <v>0.0509</v>
      </c>
      <c r="F20" s="38" t="n">
        <v>2252658330</v>
      </c>
      <c r="G20" s="22" t="n">
        <v>117363499</v>
      </c>
      <c r="H20" s="25" t="n">
        <v>0.0291143558730862</v>
      </c>
      <c r="I20" s="27" t="s">
        <v>28</v>
      </c>
      <c r="J20" s="19" t="s">
        <v>18</v>
      </c>
    </row>
    <row r="21" customFormat="false" ht="15.75" hidden="false" customHeight="true" outlineLevel="0" collapsed="false">
      <c r="A21" s="39" t="n">
        <v>45962</v>
      </c>
      <c r="B21" s="4" t="s">
        <v>34</v>
      </c>
      <c r="C21" s="5" t="s">
        <v>35</v>
      </c>
      <c r="D21" s="6" t="s">
        <v>37</v>
      </c>
      <c r="E21" s="40" t="n">
        <v>1.2716</v>
      </c>
      <c r="F21" s="41" t="n">
        <v>3967773744</v>
      </c>
      <c r="G21" s="10" t="n">
        <v>5012885348</v>
      </c>
      <c r="H21" s="15" t="n">
        <v>-0.00733604304530207</v>
      </c>
      <c r="I21" s="14" t="s">
        <v>20</v>
      </c>
      <c r="J21" s="6" t="s">
        <v>36</v>
      </c>
    </row>
    <row r="22" customFormat="false" ht="15.75" hidden="false" customHeight="true" outlineLevel="0" collapsed="false">
      <c r="A22" s="36" t="n">
        <v>45962</v>
      </c>
      <c r="B22" s="17" t="s">
        <v>38</v>
      </c>
      <c r="C22" s="18" t="s">
        <v>39</v>
      </c>
      <c r="D22" s="19" t="s">
        <v>40</v>
      </c>
      <c r="E22" s="37" t="n">
        <v>1.0609</v>
      </c>
      <c r="F22" s="38" t="n">
        <v>3265469633</v>
      </c>
      <c r="G22" s="22" t="n">
        <v>3533564690</v>
      </c>
      <c r="H22" s="23" t="n">
        <v>-0.0257883593977245</v>
      </c>
      <c r="I22" s="14" t="s">
        <v>20</v>
      </c>
      <c r="J22" s="19" t="s">
        <v>36</v>
      </c>
    </row>
    <row r="23" customFormat="false" ht="15.75" hidden="false" customHeight="true" outlineLevel="0" collapsed="false">
      <c r="A23" s="39" t="n">
        <v>45962</v>
      </c>
      <c r="B23" s="4" t="s">
        <v>41</v>
      </c>
      <c r="C23" s="5" t="s">
        <v>42</v>
      </c>
      <c r="D23" s="6" t="s">
        <v>40</v>
      </c>
      <c r="E23" s="40" t="n">
        <v>1.0861</v>
      </c>
      <c r="F23" s="41" t="n">
        <v>1915388006</v>
      </c>
      <c r="G23" s="10" t="n">
        <v>2072641361</v>
      </c>
      <c r="H23" s="12" t="n">
        <v>0.0216453722114167</v>
      </c>
      <c r="I23" s="14" t="s">
        <v>20</v>
      </c>
      <c r="J23" s="6" t="s">
        <v>36</v>
      </c>
    </row>
    <row r="24" customFormat="false" ht="15.75" hidden="false" customHeight="true" outlineLevel="0" collapsed="false">
      <c r="A24" s="36" t="n">
        <v>45962</v>
      </c>
      <c r="B24" s="17" t="s">
        <v>43</v>
      </c>
      <c r="C24" s="18" t="s">
        <v>44</v>
      </c>
      <c r="D24" s="19" t="s">
        <v>46</v>
      </c>
      <c r="E24" s="37" t="n">
        <v>0.0065</v>
      </c>
      <c r="F24" s="38" t="n">
        <v>322275304948</v>
      </c>
      <c r="G24" s="22" t="n">
        <v>2149576284</v>
      </c>
      <c r="H24" s="25" t="n">
        <v>0.0257878770599977</v>
      </c>
      <c r="I24" s="27" t="s">
        <v>28</v>
      </c>
      <c r="J24" s="19" t="s">
        <v>45</v>
      </c>
    </row>
    <row r="25" customFormat="false" ht="15.75" hidden="false" customHeight="true" outlineLevel="0" collapsed="false">
      <c r="A25" s="39" t="n">
        <v>45962</v>
      </c>
      <c r="B25" s="4" t="s">
        <v>48</v>
      </c>
      <c r="C25" s="5" t="s">
        <v>49</v>
      </c>
      <c r="D25" s="6" t="s">
        <v>50</v>
      </c>
      <c r="E25" s="40" t="n">
        <v>0.0118</v>
      </c>
      <c r="F25" s="41" t="n">
        <v>94754347492</v>
      </c>
      <c r="G25" s="10" t="n">
        <v>1133261996</v>
      </c>
      <c r="H25" s="12" t="n">
        <v>0.00685540308508489</v>
      </c>
      <c r="I25" s="27" t="s">
        <v>28</v>
      </c>
      <c r="J25" s="6" t="s">
        <v>45</v>
      </c>
    </row>
    <row r="26" customFormat="false" ht="15.75" hidden="false" customHeight="true" outlineLevel="0" collapsed="false">
      <c r="A26" s="36" t="n">
        <v>45962</v>
      </c>
      <c r="B26" s="17" t="s">
        <v>52</v>
      </c>
      <c r="C26" s="18" t="s">
        <v>53</v>
      </c>
      <c r="D26" s="19" t="s">
        <v>54</v>
      </c>
      <c r="E26" s="37" t="n">
        <v>0.6303</v>
      </c>
      <c r="F26" s="38" t="n">
        <v>1563614909</v>
      </c>
      <c r="G26" s="22" t="n">
        <v>991488214</v>
      </c>
      <c r="H26" s="25" t="n">
        <v>0.0257893692328763</v>
      </c>
      <c r="I26" s="14" t="s">
        <v>20</v>
      </c>
      <c r="J26" s="19" t="s">
        <v>45</v>
      </c>
    </row>
    <row r="27" customFormat="false" ht="15.75" hidden="false" customHeight="true" outlineLevel="0" collapsed="false">
      <c r="A27" s="39" t="n">
        <v>45962</v>
      </c>
      <c r="B27" s="4" t="s">
        <v>55</v>
      </c>
      <c r="C27" s="5" t="s">
        <v>56</v>
      </c>
      <c r="D27" s="6" t="s">
        <v>57</v>
      </c>
      <c r="E27" s="40" t="n">
        <v>0.1365</v>
      </c>
      <c r="F27" s="41" t="n">
        <v>8372606984</v>
      </c>
      <c r="G27" s="10" t="n">
        <v>1152070721</v>
      </c>
      <c r="H27" s="15" t="n">
        <v>-0.0325868551843015</v>
      </c>
      <c r="I27" s="28" t="s">
        <v>58</v>
      </c>
      <c r="J27" s="6" t="s">
        <v>45</v>
      </c>
    </row>
    <row r="28" customFormat="false" ht="15.75" hidden="false" customHeight="true" outlineLevel="0" collapsed="false">
      <c r="A28" s="36" t="n">
        <v>45962</v>
      </c>
      <c r="B28" s="17" t="s">
        <v>60</v>
      </c>
      <c r="C28" s="18" t="s">
        <v>61</v>
      </c>
      <c r="D28" s="19" t="s">
        <v>62</v>
      </c>
      <c r="E28" s="37" t="n">
        <v>0.0007</v>
      </c>
      <c r="F28" s="38" t="n">
        <v>5017380324586</v>
      </c>
      <c r="G28" s="22" t="n">
        <v>3632583355</v>
      </c>
      <c r="H28" s="23" t="n">
        <v>-0.00811360849689149</v>
      </c>
      <c r="I28" s="14" t="s">
        <v>20</v>
      </c>
      <c r="J28" s="19" t="s">
        <v>45</v>
      </c>
    </row>
    <row r="29" customFormat="false" ht="15.75" hidden="false" customHeight="true" outlineLevel="0" collapsed="false">
      <c r="A29" s="39" t="n">
        <v>45962</v>
      </c>
      <c r="B29" s="4" t="s">
        <v>63</v>
      </c>
      <c r="C29" s="5" t="s">
        <v>64</v>
      </c>
      <c r="D29" s="6" t="s">
        <v>65</v>
      </c>
      <c r="E29" s="40" t="n">
        <v>0.1294</v>
      </c>
      <c r="F29" s="41" t="n">
        <v>6254216217</v>
      </c>
      <c r="G29" s="10" t="n">
        <v>801790519</v>
      </c>
      <c r="H29" s="12" t="n">
        <v>0.0122690920352738</v>
      </c>
      <c r="I29" s="27" t="s">
        <v>28</v>
      </c>
      <c r="J29" s="6" t="s">
        <v>45</v>
      </c>
    </row>
    <row r="30" customFormat="false" ht="15.75" hidden="false" customHeight="true" outlineLevel="0" collapsed="false">
      <c r="A30" s="36" t="n">
        <v>45992</v>
      </c>
      <c r="B30" s="17" t="s">
        <v>16</v>
      </c>
      <c r="C30" s="18" t="s">
        <v>17</v>
      </c>
      <c r="D30" s="19" t="s">
        <v>19</v>
      </c>
      <c r="E30" s="37" t="n">
        <v>1.0132</v>
      </c>
      <c r="F30" s="38" t="n">
        <v>18619637892</v>
      </c>
      <c r="G30" s="22" t="n">
        <v>18619637892</v>
      </c>
      <c r="H30" s="23" t="n">
        <v>-0.0225116832470934</v>
      </c>
      <c r="I30" s="14" t="s">
        <v>20</v>
      </c>
      <c r="J30" s="19" t="s">
        <v>18</v>
      </c>
    </row>
    <row r="31" customFormat="false" ht="15.75" hidden="false" customHeight="true" outlineLevel="0" collapsed="false">
      <c r="A31" s="39" t="n">
        <v>45992</v>
      </c>
      <c r="B31" s="4" t="s">
        <v>22</v>
      </c>
      <c r="C31" s="5" t="s">
        <v>23</v>
      </c>
      <c r="D31" s="6" t="s">
        <v>24</v>
      </c>
      <c r="E31" s="40" t="n">
        <v>0.7202</v>
      </c>
      <c r="F31" s="41" t="n">
        <v>2603987080</v>
      </c>
      <c r="G31" s="10" t="n">
        <v>1904035353</v>
      </c>
      <c r="H31" s="15" t="n">
        <v>-0.0162898609410969</v>
      </c>
      <c r="I31" s="14" t="s">
        <v>20</v>
      </c>
      <c r="J31" s="6" t="s">
        <v>18</v>
      </c>
    </row>
    <row r="32" customFormat="false" ht="15.75" hidden="false" customHeight="true" outlineLevel="0" collapsed="false">
      <c r="A32" s="36" t="n">
        <v>45992</v>
      </c>
      <c r="B32" s="17" t="s">
        <v>25</v>
      </c>
      <c r="C32" s="18" t="s">
        <v>26</v>
      </c>
      <c r="D32" s="19" t="s">
        <v>27</v>
      </c>
      <c r="E32" s="37" t="n">
        <v>0.1836</v>
      </c>
      <c r="F32" s="38" t="n">
        <v>3205178747</v>
      </c>
      <c r="G32" s="22" t="n">
        <v>590714443</v>
      </c>
      <c r="H32" s="25" t="n">
        <v>0.0371045320675715</v>
      </c>
      <c r="I32" s="27" t="s">
        <v>28</v>
      </c>
      <c r="J32" s="19" t="s">
        <v>18</v>
      </c>
    </row>
    <row r="33" customFormat="false" ht="15.75" hidden="false" customHeight="true" outlineLevel="0" collapsed="false">
      <c r="A33" s="39" t="n">
        <v>45992</v>
      </c>
      <c r="B33" s="4" t="s">
        <v>30</v>
      </c>
      <c r="C33" s="5" t="s">
        <v>31</v>
      </c>
      <c r="D33" s="6" t="s">
        <v>32</v>
      </c>
      <c r="E33" s="40" t="n">
        <v>0.0534</v>
      </c>
      <c r="F33" s="41" t="n">
        <v>2148518676</v>
      </c>
      <c r="G33" s="10" t="n">
        <v>111937823</v>
      </c>
      <c r="H33" s="12" t="n">
        <v>0.0299674441341136</v>
      </c>
      <c r="I33" s="27" t="s">
        <v>28</v>
      </c>
      <c r="J33" s="6" t="s">
        <v>18</v>
      </c>
    </row>
    <row r="34" customFormat="false" ht="15.75" hidden="false" customHeight="true" outlineLevel="0" collapsed="false">
      <c r="A34" s="36" t="n">
        <v>45992</v>
      </c>
      <c r="B34" s="17" t="s">
        <v>34</v>
      </c>
      <c r="C34" s="18" t="s">
        <v>35</v>
      </c>
      <c r="D34" s="19" t="s">
        <v>37</v>
      </c>
      <c r="E34" s="37" t="n">
        <v>1.296</v>
      </c>
      <c r="F34" s="38" t="n">
        <v>3969495990</v>
      </c>
      <c r="G34" s="22" t="n">
        <v>5015061234</v>
      </c>
      <c r="H34" s="23" t="n">
        <v>-0.0194531396443117</v>
      </c>
      <c r="I34" s="14" t="s">
        <v>20</v>
      </c>
      <c r="J34" s="19" t="s">
        <v>36</v>
      </c>
    </row>
    <row r="35" customFormat="false" ht="15.75" hidden="false" customHeight="true" outlineLevel="0" collapsed="false">
      <c r="A35" s="39" t="n">
        <v>45992</v>
      </c>
      <c r="B35" s="4" t="s">
        <v>38</v>
      </c>
      <c r="C35" s="5" t="s">
        <v>39</v>
      </c>
      <c r="D35" s="6" t="s">
        <v>40</v>
      </c>
      <c r="E35" s="40" t="n">
        <v>1.0924</v>
      </c>
      <c r="F35" s="41" t="n">
        <v>3450329529</v>
      </c>
      <c r="G35" s="10" t="n">
        <v>3733601583</v>
      </c>
      <c r="H35" s="12" t="n">
        <v>0.00888029108012904</v>
      </c>
      <c r="I35" s="14" t="s">
        <v>20</v>
      </c>
      <c r="J35" s="6" t="s">
        <v>36</v>
      </c>
    </row>
    <row r="36" customFormat="false" ht="15.75" hidden="false" customHeight="true" outlineLevel="0" collapsed="false">
      <c r="A36" s="36" t="n">
        <v>45992</v>
      </c>
      <c r="B36" s="17" t="s">
        <v>41</v>
      </c>
      <c r="C36" s="18" t="s">
        <v>42</v>
      </c>
      <c r="D36" s="19" t="s">
        <v>40</v>
      </c>
      <c r="E36" s="37" t="n">
        <v>1.0889</v>
      </c>
      <c r="F36" s="38" t="n">
        <v>1972676760</v>
      </c>
      <c r="G36" s="22" t="n">
        <v>2134633522</v>
      </c>
      <c r="H36" s="25" t="n">
        <v>0.0389833966604843</v>
      </c>
      <c r="I36" s="14" t="s">
        <v>20</v>
      </c>
      <c r="J36" s="19" t="s">
        <v>36</v>
      </c>
    </row>
    <row r="37" customFormat="false" ht="15.75" hidden="false" customHeight="true" outlineLevel="0" collapsed="false">
      <c r="A37" s="39" t="n">
        <v>45992</v>
      </c>
      <c r="B37" s="4" t="s">
        <v>43</v>
      </c>
      <c r="C37" s="5" t="s">
        <v>44</v>
      </c>
      <c r="D37" s="6" t="s">
        <v>46</v>
      </c>
      <c r="E37" s="40" t="n">
        <v>0.0066</v>
      </c>
      <c r="F37" s="41" t="n">
        <v>313988725337</v>
      </c>
      <c r="G37" s="10" t="n">
        <v>2094304798</v>
      </c>
      <c r="H37" s="12" t="n">
        <v>0.0309984679208141</v>
      </c>
      <c r="I37" s="27" t="s">
        <v>28</v>
      </c>
      <c r="J37" s="6" t="s">
        <v>45</v>
      </c>
    </row>
    <row r="38" customFormat="false" ht="15.75" hidden="false" customHeight="true" outlineLevel="0" collapsed="false">
      <c r="A38" s="36" t="n">
        <v>45992</v>
      </c>
      <c r="B38" s="17" t="s">
        <v>48</v>
      </c>
      <c r="C38" s="18" t="s">
        <v>49</v>
      </c>
      <c r="D38" s="19" t="s">
        <v>50</v>
      </c>
      <c r="E38" s="37" t="n">
        <v>0.0121</v>
      </c>
      <c r="F38" s="38" t="n">
        <v>98550997241</v>
      </c>
      <c r="G38" s="22" t="n">
        <v>1178669927</v>
      </c>
      <c r="H38" s="25" t="n">
        <v>0.0371717994513845</v>
      </c>
      <c r="I38" s="27" t="s">
        <v>28</v>
      </c>
      <c r="J38" s="19" t="s">
        <v>45</v>
      </c>
    </row>
    <row r="39" customFormat="false" ht="15.75" hidden="false" customHeight="true" outlineLevel="0" collapsed="false">
      <c r="A39" s="39" t="n">
        <v>45992</v>
      </c>
      <c r="B39" s="4" t="s">
        <v>52</v>
      </c>
      <c r="C39" s="5" t="s">
        <v>53</v>
      </c>
      <c r="D39" s="6" t="s">
        <v>54</v>
      </c>
      <c r="E39" s="40" t="n">
        <v>0.6216</v>
      </c>
      <c r="F39" s="41" t="n">
        <v>1605930456</v>
      </c>
      <c r="G39" s="10" t="n">
        <v>1018320502</v>
      </c>
      <c r="H39" s="12" t="n">
        <v>0.0112051506405968</v>
      </c>
      <c r="I39" s="14" t="s">
        <v>20</v>
      </c>
      <c r="J39" s="6" t="s">
        <v>45</v>
      </c>
    </row>
    <row r="40" customFormat="false" ht="15.75" hidden="false" customHeight="true" outlineLevel="0" collapsed="false">
      <c r="A40" s="36" t="n">
        <v>45992</v>
      </c>
      <c r="B40" s="17" t="s">
        <v>55</v>
      </c>
      <c r="C40" s="18" t="s">
        <v>56</v>
      </c>
      <c r="D40" s="19" t="s">
        <v>57</v>
      </c>
      <c r="E40" s="37" t="n">
        <v>0.1406</v>
      </c>
      <c r="F40" s="38" t="n">
        <v>8654054506</v>
      </c>
      <c r="G40" s="22" t="n">
        <v>1190797900</v>
      </c>
      <c r="H40" s="23" t="n">
        <v>-0.0215010718058075</v>
      </c>
      <c r="I40" s="28" t="s">
        <v>58</v>
      </c>
      <c r="J40" s="19" t="s">
        <v>45</v>
      </c>
    </row>
    <row r="41" customFormat="false" ht="15.75" hidden="false" customHeight="true" outlineLevel="0" collapsed="false">
      <c r="A41" s="39" t="n">
        <v>45992</v>
      </c>
      <c r="B41" s="4" t="s">
        <v>60</v>
      </c>
      <c r="C41" s="5" t="s">
        <v>61</v>
      </c>
      <c r="D41" s="6" t="s">
        <v>62</v>
      </c>
      <c r="E41" s="40" t="n">
        <v>0.0007</v>
      </c>
      <c r="F41" s="41" t="n">
        <v>4878621034530</v>
      </c>
      <c r="G41" s="10" t="n">
        <v>3532121629</v>
      </c>
      <c r="H41" s="15" t="n">
        <v>-0.0310134276737832</v>
      </c>
      <c r="I41" s="14" t="s">
        <v>20</v>
      </c>
      <c r="J41" s="6" t="s">
        <v>45</v>
      </c>
    </row>
    <row r="42" customFormat="false" ht="15.75" hidden="false" customHeight="true" outlineLevel="0" collapsed="false">
      <c r="A42" s="36" t="n">
        <v>45992</v>
      </c>
      <c r="B42" s="17" t="s">
        <v>63</v>
      </c>
      <c r="C42" s="18" t="s">
        <v>64</v>
      </c>
      <c r="D42" s="19" t="s">
        <v>65</v>
      </c>
      <c r="E42" s="37" t="n">
        <v>0.1267</v>
      </c>
      <c r="F42" s="38" t="n">
        <v>6162007379</v>
      </c>
      <c r="G42" s="22" t="n">
        <v>789969346</v>
      </c>
      <c r="H42" s="25" t="n">
        <v>0.0137840413917899</v>
      </c>
      <c r="I42" s="27" t="s">
        <v>28</v>
      </c>
      <c r="J42" s="19" t="s">
        <v>45</v>
      </c>
    </row>
    <row r="43" customFormat="false" ht="15.75" hidden="false" customHeight="true" outlineLevel="0" collapsed="false">
      <c r="A43" s="39" t="n">
        <v>46023</v>
      </c>
      <c r="B43" s="4" t="s">
        <v>16</v>
      </c>
      <c r="C43" s="5" t="s">
        <v>17</v>
      </c>
      <c r="D43" s="6" t="s">
        <v>19</v>
      </c>
      <c r="E43" s="40" t="n">
        <v>1.0171</v>
      </c>
      <c r="F43" s="41" t="n">
        <v>18409867489</v>
      </c>
      <c r="G43" s="10" t="n">
        <v>18409867489</v>
      </c>
      <c r="H43" s="15" t="n">
        <v>-0.00447065357381606</v>
      </c>
      <c r="I43" s="14" t="s">
        <v>20</v>
      </c>
      <c r="J43" s="6" t="s">
        <v>18</v>
      </c>
    </row>
    <row r="44" customFormat="false" ht="15.75" hidden="false" customHeight="true" outlineLevel="0" collapsed="false">
      <c r="A44" s="36" t="n">
        <v>46023</v>
      </c>
      <c r="B44" s="17" t="s">
        <v>22</v>
      </c>
      <c r="C44" s="18" t="s">
        <v>23</v>
      </c>
      <c r="D44" s="19" t="s">
        <v>24</v>
      </c>
      <c r="E44" s="37" t="n">
        <v>0.7417</v>
      </c>
      <c r="F44" s="38" t="n">
        <v>2507283114</v>
      </c>
      <c r="G44" s="22" t="n">
        <v>1833325413</v>
      </c>
      <c r="H44" s="23" t="n">
        <v>-0.00255804147698093</v>
      </c>
      <c r="I44" s="14" t="s">
        <v>20</v>
      </c>
      <c r="J44" s="19" t="s">
        <v>18</v>
      </c>
    </row>
    <row r="45" customFormat="false" ht="15.75" hidden="false" customHeight="true" outlineLevel="0" collapsed="false">
      <c r="A45" s="39" t="n">
        <v>46023</v>
      </c>
      <c r="B45" s="4" t="s">
        <v>25</v>
      </c>
      <c r="C45" s="5" t="s">
        <v>26</v>
      </c>
      <c r="D45" s="6" t="s">
        <v>27</v>
      </c>
      <c r="E45" s="40" t="n">
        <v>0.1858</v>
      </c>
      <c r="F45" s="41" t="n">
        <v>3270514357</v>
      </c>
      <c r="G45" s="10" t="n">
        <v>602755796</v>
      </c>
      <c r="H45" s="12" t="n">
        <v>0.0212033287322152</v>
      </c>
      <c r="I45" s="27" t="s">
        <v>28</v>
      </c>
      <c r="J45" s="6" t="s">
        <v>18</v>
      </c>
    </row>
    <row r="46" customFormat="false" ht="15.75" hidden="false" customHeight="true" outlineLevel="0" collapsed="false">
      <c r="A46" s="36" t="n">
        <v>46023</v>
      </c>
      <c r="B46" s="17" t="s">
        <v>30</v>
      </c>
      <c r="C46" s="18" t="s">
        <v>31</v>
      </c>
      <c r="D46" s="19" t="s">
        <v>32</v>
      </c>
      <c r="E46" s="37" t="n">
        <v>0.0506</v>
      </c>
      <c r="F46" s="38" t="n">
        <v>2186856257</v>
      </c>
      <c r="G46" s="22" t="n">
        <v>113935211</v>
      </c>
      <c r="H46" s="23" t="n">
        <v>-0.031587878581061</v>
      </c>
      <c r="I46" s="27" t="s">
        <v>28</v>
      </c>
      <c r="J46" s="19" t="s">
        <v>18</v>
      </c>
    </row>
    <row r="47" customFormat="false" ht="15.75" hidden="false" customHeight="true" outlineLevel="0" collapsed="false">
      <c r="A47" s="39" t="n">
        <v>46023</v>
      </c>
      <c r="B47" s="4" t="s">
        <v>34</v>
      </c>
      <c r="C47" s="5" t="s">
        <v>35</v>
      </c>
      <c r="D47" s="6" t="s">
        <v>37</v>
      </c>
      <c r="E47" s="40" t="n">
        <v>1.2984</v>
      </c>
      <c r="F47" s="41" t="n">
        <v>3852804543</v>
      </c>
      <c r="G47" s="10" t="n">
        <v>4867633259</v>
      </c>
      <c r="H47" s="15" t="n">
        <v>-0.0066581640841243</v>
      </c>
      <c r="I47" s="14" t="s">
        <v>20</v>
      </c>
      <c r="J47" s="6" t="s">
        <v>36</v>
      </c>
    </row>
    <row r="48" customFormat="false" ht="15.75" hidden="false" customHeight="true" outlineLevel="0" collapsed="false">
      <c r="A48" s="36" t="n">
        <v>46023</v>
      </c>
      <c r="B48" s="17" t="s">
        <v>38</v>
      </c>
      <c r="C48" s="18" t="s">
        <v>39</v>
      </c>
      <c r="D48" s="19" t="s">
        <v>40</v>
      </c>
      <c r="E48" s="37" t="n">
        <v>1.1112</v>
      </c>
      <c r="F48" s="38" t="n">
        <v>3367595249</v>
      </c>
      <c r="G48" s="22" t="n">
        <v>3644074819</v>
      </c>
      <c r="H48" s="25" t="n">
        <v>0.00704090867931394</v>
      </c>
      <c r="I48" s="14" t="s">
        <v>20</v>
      </c>
      <c r="J48" s="19" t="s">
        <v>36</v>
      </c>
    </row>
    <row r="49" customFormat="false" ht="15.75" hidden="false" customHeight="true" outlineLevel="0" collapsed="false">
      <c r="A49" s="39" t="n">
        <v>46023</v>
      </c>
      <c r="B49" s="4" t="s">
        <v>41</v>
      </c>
      <c r="C49" s="5" t="s">
        <v>42</v>
      </c>
      <c r="D49" s="6" t="s">
        <v>40</v>
      </c>
      <c r="E49" s="40" t="n">
        <v>1.114</v>
      </c>
      <c r="F49" s="41" t="n">
        <v>1975186309</v>
      </c>
      <c r="G49" s="10" t="n">
        <v>2137349105</v>
      </c>
      <c r="H49" s="12" t="n">
        <v>0.0234895470110542</v>
      </c>
      <c r="I49" s="14" t="s">
        <v>20</v>
      </c>
      <c r="J49" s="6" t="s">
        <v>36</v>
      </c>
    </row>
    <row r="50" customFormat="false" ht="15.75" hidden="false" customHeight="true" outlineLevel="0" collapsed="false">
      <c r="A50" s="36" t="n">
        <v>46023</v>
      </c>
      <c r="B50" s="17" t="s">
        <v>43</v>
      </c>
      <c r="C50" s="18" t="s">
        <v>44</v>
      </c>
      <c r="D50" s="19" t="s">
        <v>46</v>
      </c>
      <c r="E50" s="37" t="n">
        <v>0.0067</v>
      </c>
      <c r="F50" s="38" t="n">
        <v>303379646477</v>
      </c>
      <c r="G50" s="22" t="n">
        <v>2023542242</v>
      </c>
      <c r="H50" s="23" t="n">
        <v>-0.0297225076688094</v>
      </c>
      <c r="I50" s="27" t="s">
        <v>28</v>
      </c>
      <c r="J50" s="19" t="s">
        <v>45</v>
      </c>
    </row>
    <row r="51" customFormat="false" ht="15.75" hidden="false" customHeight="true" outlineLevel="0" collapsed="false">
      <c r="A51" s="39" t="n">
        <v>46023</v>
      </c>
      <c r="B51" s="4" t="s">
        <v>48</v>
      </c>
      <c r="C51" s="5" t="s">
        <v>49</v>
      </c>
      <c r="D51" s="6" t="s">
        <v>50</v>
      </c>
      <c r="E51" s="40" t="n">
        <v>0.0122</v>
      </c>
      <c r="F51" s="41" t="n">
        <v>95270123829</v>
      </c>
      <c r="G51" s="10" t="n">
        <v>1139430681</v>
      </c>
      <c r="H51" s="12" t="n">
        <v>0.0161472591096296</v>
      </c>
      <c r="I51" s="27" t="s">
        <v>28</v>
      </c>
      <c r="J51" s="6" t="s">
        <v>45</v>
      </c>
    </row>
    <row r="52" customFormat="false" ht="15.75" hidden="false" customHeight="true" outlineLevel="0" collapsed="false">
      <c r="A52" s="36" t="n">
        <v>46023</v>
      </c>
      <c r="B52" s="17" t="s">
        <v>52</v>
      </c>
      <c r="C52" s="18" t="s">
        <v>53</v>
      </c>
      <c r="D52" s="19" t="s">
        <v>54</v>
      </c>
      <c r="E52" s="37" t="n">
        <v>0.6219</v>
      </c>
      <c r="F52" s="38" t="n">
        <v>1653265832</v>
      </c>
      <c r="G52" s="22" t="n">
        <v>1048335864</v>
      </c>
      <c r="H52" s="23" t="n">
        <v>-0.0199865846588543</v>
      </c>
      <c r="I52" s="14" t="s">
        <v>20</v>
      </c>
      <c r="J52" s="19" t="s">
        <v>45</v>
      </c>
    </row>
    <row r="53" customFormat="false" ht="15.75" hidden="false" customHeight="true" outlineLevel="0" collapsed="false">
      <c r="A53" s="39" t="n">
        <v>46023</v>
      </c>
      <c r="B53" s="4" t="s">
        <v>55</v>
      </c>
      <c r="C53" s="5" t="s">
        <v>56</v>
      </c>
      <c r="D53" s="6" t="s">
        <v>57</v>
      </c>
      <c r="E53" s="40" t="n">
        <v>0.1408</v>
      </c>
      <c r="F53" s="41" t="n">
        <v>8333111868</v>
      </c>
      <c r="G53" s="10" t="n">
        <v>1146636193</v>
      </c>
      <c r="H53" s="15" t="n">
        <v>-0.00938765932103122</v>
      </c>
      <c r="I53" s="28" t="s">
        <v>58</v>
      </c>
      <c r="J53" s="6" t="s">
        <v>45</v>
      </c>
    </row>
    <row r="54" customFormat="false" ht="15.75" hidden="false" customHeight="true" outlineLevel="0" collapsed="false">
      <c r="A54" s="36" t="n">
        <v>46023</v>
      </c>
      <c r="B54" s="17" t="s">
        <v>60</v>
      </c>
      <c r="C54" s="18" t="s">
        <v>61</v>
      </c>
      <c r="D54" s="19" t="s">
        <v>62</v>
      </c>
      <c r="E54" s="37" t="n">
        <v>0.0007</v>
      </c>
      <c r="F54" s="38" t="n">
        <v>5075629885359</v>
      </c>
      <c r="G54" s="22" t="n">
        <v>3674756037</v>
      </c>
      <c r="H54" s="25" t="n">
        <v>0.0314343533670017</v>
      </c>
      <c r="I54" s="14" t="s">
        <v>20</v>
      </c>
      <c r="J54" s="19" t="s">
        <v>45</v>
      </c>
    </row>
    <row r="55" customFormat="false" ht="15.75" hidden="false" customHeight="true" outlineLevel="0" collapsed="false">
      <c r="A55" s="39" t="n">
        <v>46023</v>
      </c>
      <c r="B55" s="4" t="s">
        <v>63</v>
      </c>
      <c r="C55" s="5" t="s">
        <v>64</v>
      </c>
      <c r="D55" s="6" t="s">
        <v>65</v>
      </c>
      <c r="E55" s="40" t="n">
        <v>0.1257</v>
      </c>
      <c r="F55" s="41" t="n">
        <v>6528160484</v>
      </c>
      <c r="G55" s="10" t="n">
        <v>836910174</v>
      </c>
      <c r="H55" s="15" t="n">
        <v>-0.0340203705241301</v>
      </c>
      <c r="I55" s="27" t="s">
        <v>28</v>
      </c>
      <c r="J55" s="6" t="s">
        <v>45</v>
      </c>
    </row>
    <row r="56" customFormat="false" ht="15.75" hidden="false" customHeight="true" outlineLevel="0" collapsed="false">
      <c r="A56" s="36" t="n">
        <v>46054</v>
      </c>
      <c r="B56" s="17" t="s">
        <v>16</v>
      </c>
      <c r="C56" s="18" t="s">
        <v>17</v>
      </c>
      <c r="D56" s="19" t="s">
        <v>19</v>
      </c>
      <c r="E56" s="37" t="n">
        <v>0.9709</v>
      </c>
      <c r="F56" s="38" t="n">
        <v>17897099101</v>
      </c>
      <c r="G56" s="22" t="n">
        <v>17897099101</v>
      </c>
      <c r="H56" s="23" t="n">
        <v>-0.0136202896855686</v>
      </c>
      <c r="I56" s="14" t="s">
        <v>20</v>
      </c>
      <c r="J56" s="19" t="s">
        <v>18</v>
      </c>
    </row>
    <row r="57" customFormat="false" ht="15.75" hidden="false" customHeight="true" outlineLevel="0" collapsed="false">
      <c r="A57" s="39" t="n">
        <v>46054</v>
      </c>
      <c r="B57" s="4" t="s">
        <v>22</v>
      </c>
      <c r="C57" s="5" t="s">
        <v>23</v>
      </c>
      <c r="D57" s="6" t="s">
        <v>24</v>
      </c>
      <c r="E57" s="40" t="n">
        <v>0.7415</v>
      </c>
      <c r="F57" s="41" t="n">
        <v>2503681591</v>
      </c>
      <c r="G57" s="10" t="n">
        <v>1830691979</v>
      </c>
      <c r="H57" s="12" t="n">
        <v>0.00556943576373432</v>
      </c>
      <c r="I57" s="14" t="s">
        <v>20</v>
      </c>
      <c r="J57" s="6" t="s">
        <v>18</v>
      </c>
    </row>
    <row r="58" customFormat="false" ht="15.75" hidden="false" customHeight="true" outlineLevel="0" collapsed="false">
      <c r="A58" s="36" t="n">
        <v>46054</v>
      </c>
      <c r="B58" s="17" t="s">
        <v>25</v>
      </c>
      <c r="C58" s="18" t="s">
        <v>26</v>
      </c>
      <c r="D58" s="19" t="s">
        <v>27</v>
      </c>
      <c r="E58" s="37" t="n">
        <v>0.1852</v>
      </c>
      <c r="F58" s="38" t="n">
        <v>3275857450</v>
      </c>
      <c r="G58" s="22" t="n">
        <v>603740528</v>
      </c>
      <c r="H58" s="23" t="n">
        <v>-0.00688489004281916</v>
      </c>
      <c r="I58" s="27" t="s">
        <v>28</v>
      </c>
      <c r="J58" s="19" t="s">
        <v>18</v>
      </c>
    </row>
    <row r="59" customFormat="false" ht="15.75" hidden="false" customHeight="true" outlineLevel="0" collapsed="false">
      <c r="A59" s="39" t="n">
        <v>46054</v>
      </c>
      <c r="B59" s="4" t="s">
        <v>30</v>
      </c>
      <c r="C59" s="5" t="s">
        <v>31</v>
      </c>
      <c r="D59" s="6" t="s">
        <v>32</v>
      </c>
      <c r="E59" s="40" t="n">
        <v>0.0507</v>
      </c>
      <c r="F59" s="41" t="n">
        <v>2118328560</v>
      </c>
      <c r="G59" s="10" t="n">
        <v>110364918</v>
      </c>
      <c r="H59" s="15" t="n">
        <v>-0.037108668060448</v>
      </c>
      <c r="I59" s="27" t="s">
        <v>28</v>
      </c>
      <c r="J59" s="6" t="s">
        <v>18</v>
      </c>
    </row>
    <row r="60" customFormat="false" ht="15.75" hidden="false" customHeight="true" outlineLevel="0" collapsed="false">
      <c r="A60" s="36" t="n">
        <v>46054</v>
      </c>
      <c r="B60" s="17" t="s">
        <v>34</v>
      </c>
      <c r="C60" s="18" t="s">
        <v>35</v>
      </c>
      <c r="D60" s="19" t="s">
        <v>37</v>
      </c>
      <c r="E60" s="37" t="n">
        <v>1.2828</v>
      </c>
      <c r="F60" s="38" t="n">
        <v>3770773423</v>
      </c>
      <c r="G60" s="22" t="n">
        <v>4763995143</v>
      </c>
      <c r="H60" s="23" t="n">
        <v>-0.0273186613095797</v>
      </c>
      <c r="I60" s="14" t="s">
        <v>20</v>
      </c>
      <c r="J60" s="19" t="s">
        <v>36</v>
      </c>
    </row>
    <row r="61" customFormat="false" ht="15.75" hidden="false" customHeight="true" outlineLevel="0" collapsed="false">
      <c r="A61" s="39" t="n">
        <v>46054</v>
      </c>
      <c r="B61" s="4" t="s">
        <v>38</v>
      </c>
      <c r="C61" s="5" t="s">
        <v>39</v>
      </c>
      <c r="D61" s="6" t="s">
        <v>40</v>
      </c>
      <c r="E61" s="40" t="n">
        <v>1.0768</v>
      </c>
      <c r="F61" s="41" t="n">
        <v>3410440595</v>
      </c>
      <c r="G61" s="10" t="n">
        <v>3690437768</v>
      </c>
      <c r="H61" s="12" t="n">
        <v>0.0244283462694154</v>
      </c>
      <c r="I61" s="14" t="s">
        <v>20</v>
      </c>
      <c r="J61" s="6" t="s">
        <v>36</v>
      </c>
    </row>
    <row r="62" customFormat="false" ht="15.75" hidden="false" customHeight="true" outlineLevel="0" collapsed="false">
      <c r="A62" s="36" t="n">
        <v>46054</v>
      </c>
      <c r="B62" s="17" t="s">
        <v>41</v>
      </c>
      <c r="C62" s="18" t="s">
        <v>42</v>
      </c>
      <c r="D62" s="19" t="s">
        <v>40</v>
      </c>
      <c r="E62" s="37" t="n">
        <v>1.0675</v>
      </c>
      <c r="F62" s="38" t="n">
        <v>1864477200</v>
      </c>
      <c r="G62" s="22" t="n">
        <v>2017550778</v>
      </c>
      <c r="H62" s="23" t="n">
        <v>-0.0107865023191897</v>
      </c>
      <c r="I62" s="14" t="s">
        <v>20</v>
      </c>
      <c r="J62" s="19" t="s">
        <v>36</v>
      </c>
    </row>
    <row r="63" customFormat="false" ht="15.75" hidden="false" customHeight="true" outlineLevel="0" collapsed="false">
      <c r="A63" s="39" t="n">
        <v>46054</v>
      </c>
      <c r="B63" s="4" t="s">
        <v>43</v>
      </c>
      <c r="C63" s="5" t="s">
        <v>44</v>
      </c>
      <c r="D63" s="6" t="s">
        <v>46</v>
      </c>
      <c r="E63" s="40" t="n">
        <v>0.0067</v>
      </c>
      <c r="F63" s="41" t="n">
        <v>308179996852</v>
      </c>
      <c r="G63" s="10" t="n">
        <v>2055560579</v>
      </c>
      <c r="H63" s="12" t="n">
        <v>0.0161455561838641</v>
      </c>
      <c r="I63" s="27" t="s">
        <v>28</v>
      </c>
      <c r="J63" s="6" t="s">
        <v>45</v>
      </c>
    </row>
    <row r="64" customFormat="false" ht="15.75" hidden="false" customHeight="true" outlineLevel="0" collapsed="false">
      <c r="A64" s="36" t="n">
        <v>46054</v>
      </c>
      <c r="B64" s="17" t="s">
        <v>48</v>
      </c>
      <c r="C64" s="18" t="s">
        <v>49</v>
      </c>
      <c r="D64" s="19" t="s">
        <v>50</v>
      </c>
      <c r="E64" s="37" t="n">
        <v>0.0117</v>
      </c>
      <c r="F64" s="38" t="n">
        <v>101880530184</v>
      </c>
      <c r="G64" s="22" t="n">
        <v>1218491141</v>
      </c>
      <c r="H64" s="25" t="n">
        <v>0.0142299360713749</v>
      </c>
      <c r="I64" s="27" t="s">
        <v>28</v>
      </c>
      <c r="J64" s="19" t="s">
        <v>45</v>
      </c>
    </row>
    <row r="65" customFormat="false" ht="15.75" hidden="false" customHeight="true" outlineLevel="0" collapsed="false">
      <c r="A65" s="39" t="n">
        <v>46054</v>
      </c>
      <c r="B65" s="4" t="s">
        <v>52</v>
      </c>
      <c r="C65" s="5" t="s">
        <v>53</v>
      </c>
      <c r="D65" s="6" t="s">
        <v>54</v>
      </c>
      <c r="E65" s="40" t="n">
        <v>0.6208</v>
      </c>
      <c r="F65" s="41" t="n">
        <v>1688716371</v>
      </c>
      <c r="G65" s="10" t="n">
        <v>1070815051</v>
      </c>
      <c r="H65" s="15" t="n">
        <v>-0.033079318384478</v>
      </c>
      <c r="I65" s="14" t="s">
        <v>20</v>
      </c>
      <c r="J65" s="6" t="s">
        <v>45</v>
      </c>
    </row>
    <row r="66" customFormat="false" ht="15.75" hidden="false" customHeight="true" outlineLevel="0" collapsed="false">
      <c r="A66" s="36" t="n">
        <v>46054</v>
      </c>
      <c r="B66" s="17" t="s">
        <v>55</v>
      </c>
      <c r="C66" s="18" t="s">
        <v>56</v>
      </c>
      <c r="D66" s="19" t="s">
        <v>57</v>
      </c>
      <c r="E66" s="37" t="n">
        <v>0.1348</v>
      </c>
      <c r="F66" s="38" t="n">
        <v>8745269128</v>
      </c>
      <c r="G66" s="22" t="n">
        <v>1203349032</v>
      </c>
      <c r="H66" s="25" t="n">
        <v>0.0296697734488734</v>
      </c>
      <c r="I66" s="28" t="s">
        <v>58</v>
      </c>
      <c r="J66" s="19" t="s">
        <v>45</v>
      </c>
    </row>
    <row r="67" customFormat="false" ht="15.75" hidden="false" customHeight="true" outlineLevel="0" collapsed="false">
      <c r="A67" s="39" t="n">
        <v>46054</v>
      </c>
      <c r="B67" s="4" t="s">
        <v>60</v>
      </c>
      <c r="C67" s="5" t="s">
        <v>61</v>
      </c>
      <c r="D67" s="6" t="s">
        <v>62</v>
      </c>
      <c r="E67" s="40" t="n">
        <v>0.0007</v>
      </c>
      <c r="F67" s="41" t="n">
        <v>4958540882597</v>
      </c>
      <c r="G67" s="10" t="n">
        <v>3589983599</v>
      </c>
      <c r="H67" s="12" t="n">
        <v>0.00888696143693255</v>
      </c>
      <c r="I67" s="14" t="s">
        <v>20</v>
      </c>
      <c r="J67" s="6" t="s">
        <v>45</v>
      </c>
    </row>
    <row r="68" customFormat="false" ht="15.75" hidden="false" customHeight="true" outlineLevel="0" collapsed="false">
      <c r="A68" s="36" t="n">
        <v>46054</v>
      </c>
      <c r="B68" s="17" t="s">
        <v>63</v>
      </c>
      <c r="C68" s="18" t="s">
        <v>64</v>
      </c>
      <c r="D68" s="19" t="s">
        <v>65</v>
      </c>
      <c r="E68" s="37" t="n">
        <v>0.127</v>
      </c>
      <c r="F68" s="38" t="n">
        <v>6071227972</v>
      </c>
      <c r="G68" s="22" t="n">
        <v>778331426</v>
      </c>
      <c r="H68" s="25" t="n">
        <v>0.0100049671150068</v>
      </c>
      <c r="I68" s="27" t="s">
        <v>28</v>
      </c>
      <c r="J68" s="19" t="s">
        <v>45</v>
      </c>
    </row>
    <row r="69" customFormat="false" ht="15.75" hidden="false" customHeight="true" outlineLevel="0" collapsed="false">
      <c r="A69" s="39" t="n">
        <v>46082</v>
      </c>
      <c r="B69" s="4" t="s">
        <v>16</v>
      </c>
      <c r="C69" s="5" t="s">
        <v>17</v>
      </c>
      <c r="D69" s="6" t="s">
        <v>19</v>
      </c>
      <c r="E69" s="40" t="n">
        <v>0.9767</v>
      </c>
      <c r="F69" s="41" t="n">
        <v>17389459477</v>
      </c>
      <c r="G69" s="10" t="n">
        <v>17389459477</v>
      </c>
      <c r="H69" s="15" t="n">
        <v>-0.000275406454264644</v>
      </c>
      <c r="I69" s="14" t="s">
        <v>20</v>
      </c>
      <c r="J69" s="6" t="s">
        <v>18</v>
      </c>
    </row>
    <row r="70" customFormat="false" ht="15.75" hidden="false" customHeight="true" outlineLevel="0" collapsed="false">
      <c r="A70" s="36" t="n">
        <v>46082</v>
      </c>
      <c r="B70" s="17" t="s">
        <v>22</v>
      </c>
      <c r="C70" s="18" t="s">
        <v>23</v>
      </c>
      <c r="D70" s="19" t="s">
        <v>24</v>
      </c>
      <c r="E70" s="37" t="n">
        <v>0.7098</v>
      </c>
      <c r="F70" s="38" t="n">
        <v>2708745806</v>
      </c>
      <c r="G70" s="22" t="n">
        <v>1980634933</v>
      </c>
      <c r="H70" s="23" t="n">
        <v>-0.00985304956626115</v>
      </c>
      <c r="I70" s="14" t="s">
        <v>20</v>
      </c>
      <c r="J70" s="19" t="s">
        <v>18</v>
      </c>
    </row>
    <row r="71" customFormat="false" ht="15.75" hidden="false" customHeight="true" outlineLevel="0" collapsed="false">
      <c r="A71" s="39" t="n">
        <v>46082</v>
      </c>
      <c r="B71" s="4" t="s">
        <v>25</v>
      </c>
      <c r="C71" s="5" t="s">
        <v>26</v>
      </c>
      <c r="D71" s="6" t="s">
        <v>27</v>
      </c>
      <c r="E71" s="40" t="n">
        <v>0.1876</v>
      </c>
      <c r="F71" s="41" t="n">
        <v>3229881286</v>
      </c>
      <c r="G71" s="10" t="n">
        <v>595267121</v>
      </c>
      <c r="H71" s="15" t="n">
        <v>-0.0211716720063995</v>
      </c>
      <c r="I71" s="27" t="s">
        <v>28</v>
      </c>
      <c r="J71" s="6" t="s">
        <v>18</v>
      </c>
    </row>
    <row r="72" customFormat="false" ht="15.75" hidden="false" customHeight="true" outlineLevel="0" collapsed="false">
      <c r="A72" s="36" t="n">
        <v>46082</v>
      </c>
      <c r="B72" s="17" t="s">
        <v>30</v>
      </c>
      <c r="C72" s="18" t="s">
        <v>31</v>
      </c>
      <c r="D72" s="19" t="s">
        <v>32</v>
      </c>
      <c r="E72" s="37" t="n">
        <v>0.0533</v>
      </c>
      <c r="F72" s="38" t="n">
        <v>2203368676</v>
      </c>
      <c r="G72" s="22" t="n">
        <v>114795508</v>
      </c>
      <c r="H72" s="23" t="n">
        <v>-0.0335856921217227</v>
      </c>
      <c r="I72" s="27" t="s">
        <v>28</v>
      </c>
      <c r="J72" s="19" t="s">
        <v>18</v>
      </c>
    </row>
    <row r="73" customFormat="false" ht="15.75" hidden="false" customHeight="true" outlineLevel="0" collapsed="false">
      <c r="A73" s="39" t="n">
        <v>46082</v>
      </c>
      <c r="B73" s="4" t="s">
        <v>34</v>
      </c>
      <c r="C73" s="5" t="s">
        <v>35</v>
      </c>
      <c r="D73" s="6" t="s">
        <v>37</v>
      </c>
      <c r="E73" s="40" t="n">
        <v>1.2891</v>
      </c>
      <c r="F73" s="41" t="n">
        <v>4133576822</v>
      </c>
      <c r="G73" s="10" t="n">
        <v>5222360957</v>
      </c>
      <c r="H73" s="12" t="n">
        <v>0.021923607256369</v>
      </c>
      <c r="I73" s="14" t="s">
        <v>20</v>
      </c>
      <c r="J73" s="6" t="s">
        <v>36</v>
      </c>
    </row>
    <row r="74" customFormat="false" ht="15.75" hidden="false" customHeight="true" outlineLevel="0" collapsed="false">
      <c r="A74" s="36" t="n">
        <v>46082</v>
      </c>
      <c r="B74" s="17" t="s">
        <v>38</v>
      </c>
      <c r="C74" s="18" t="s">
        <v>39</v>
      </c>
      <c r="D74" s="19" t="s">
        <v>40</v>
      </c>
      <c r="E74" s="37" t="n">
        <v>1.0526</v>
      </c>
      <c r="F74" s="38" t="n">
        <v>3302518982</v>
      </c>
      <c r="G74" s="22" t="n">
        <v>3573655790</v>
      </c>
      <c r="H74" s="23" t="n">
        <v>-0.00827787636495815</v>
      </c>
      <c r="I74" s="14" t="s">
        <v>20</v>
      </c>
      <c r="J74" s="19" t="s">
        <v>36</v>
      </c>
    </row>
    <row r="75" customFormat="false" ht="15.75" hidden="false" customHeight="true" outlineLevel="0" collapsed="false">
      <c r="A75" s="39" t="n">
        <v>46082</v>
      </c>
      <c r="B75" s="4" t="s">
        <v>41</v>
      </c>
      <c r="C75" s="5" t="s">
        <v>42</v>
      </c>
      <c r="D75" s="6" t="s">
        <v>40</v>
      </c>
      <c r="E75" s="40" t="n">
        <v>1.1109</v>
      </c>
      <c r="F75" s="41" t="n">
        <v>1890809779</v>
      </c>
      <c r="G75" s="10" t="n">
        <v>2046045262</v>
      </c>
      <c r="H75" s="12" t="n">
        <v>0.0304764791045452</v>
      </c>
      <c r="I75" s="14" t="s">
        <v>20</v>
      </c>
      <c r="J75" s="6" t="s">
        <v>36</v>
      </c>
    </row>
    <row r="76" customFormat="false" ht="15.75" hidden="false" customHeight="true" outlineLevel="0" collapsed="false">
      <c r="A76" s="36" t="n">
        <v>46082</v>
      </c>
      <c r="B76" s="17" t="s">
        <v>43</v>
      </c>
      <c r="C76" s="18" t="s">
        <v>44</v>
      </c>
      <c r="D76" s="19" t="s">
        <v>46</v>
      </c>
      <c r="E76" s="37" t="n">
        <v>0.0065</v>
      </c>
      <c r="F76" s="38" t="n">
        <v>319628532234</v>
      </c>
      <c r="G76" s="22" t="n">
        <v>2131922310</v>
      </c>
      <c r="H76" s="23" t="n">
        <v>-0.00580028486155316</v>
      </c>
      <c r="I76" s="27" t="s">
        <v>28</v>
      </c>
      <c r="J76" s="19" t="s">
        <v>45</v>
      </c>
    </row>
    <row r="77" customFormat="false" ht="15.75" hidden="false" customHeight="true" outlineLevel="0" collapsed="false">
      <c r="A77" s="39" t="n">
        <v>46082</v>
      </c>
      <c r="B77" s="4" t="s">
        <v>48</v>
      </c>
      <c r="C77" s="5" t="s">
        <v>49</v>
      </c>
      <c r="D77" s="6" t="s">
        <v>50</v>
      </c>
      <c r="E77" s="40" t="n">
        <v>0.012</v>
      </c>
      <c r="F77" s="41" t="n">
        <v>92611993813</v>
      </c>
      <c r="G77" s="10" t="n">
        <v>1107639446</v>
      </c>
      <c r="H77" s="15" t="n">
        <v>-0.0146139259060736</v>
      </c>
      <c r="I77" s="27" t="s">
        <v>28</v>
      </c>
      <c r="J77" s="6" t="s">
        <v>45</v>
      </c>
    </row>
    <row r="78" customFormat="false" ht="15.75" hidden="false" customHeight="true" outlineLevel="0" collapsed="false">
      <c r="A78" s="36" t="n">
        <v>46082</v>
      </c>
      <c r="B78" s="17" t="s">
        <v>52</v>
      </c>
      <c r="C78" s="18" t="s">
        <v>53</v>
      </c>
      <c r="D78" s="19" t="s">
        <v>54</v>
      </c>
      <c r="E78" s="37" t="n">
        <v>0.6466</v>
      </c>
      <c r="F78" s="38" t="n">
        <v>1571347478</v>
      </c>
      <c r="G78" s="22" t="n">
        <v>996391436</v>
      </c>
      <c r="H78" s="23" t="n">
        <v>-0.037234654798117</v>
      </c>
      <c r="I78" s="14" t="s">
        <v>20</v>
      </c>
      <c r="J78" s="19" t="s">
        <v>45</v>
      </c>
    </row>
    <row r="79" customFormat="false" ht="15.75" hidden="false" customHeight="true" outlineLevel="0" collapsed="false">
      <c r="A79" s="39" t="n">
        <v>46082</v>
      </c>
      <c r="B79" s="4" t="s">
        <v>55</v>
      </c>
      <c r="C79" s="5" t="s">
        <v>56</v>
      </c>
      <c r="D79" s="6" t="s">
        <v>57</v>
      </c>
      <c r="E79" s="40" t="n">
        <v>0.138</v>
      </c>
      <c r="F79" s="41" t="n">
        <v>8826297747</v>
      </c>
      <c r="G79" s="10" t="n">
        <v>1214498570</v>
      </c>
      <c r="H79" s="12" t="n">
        <v>0.0154905096735854</v>
      </c>
      <c r="I79" s="28" t="s">
        <v>58</v>
      </c>
      <c r="J79" s="6" t="s">
        <v>45</v>
      </c>
    </row>
    <row r="80" customFormat="false" ht="15.75" hidden="false" customHeight="true" outlineLevel="0" collapsed="false">
      <c r="A80" s="36" t="n">
        <v>46082</v>
      </c>
      <c r="B80" s="17" t="s">
        <v>60</v>
      </c>
      <c r="C80" s="18" t="s">
        <v>61</v>
      </c>
      <c r="D80" s="19" t="s">
        <v>62</v>
      </c>
      <c r="E80" s="37" t="n">
        <v>0.0007</v>
      </c>
      <c r="F80" s="38" t="n">
        <v>4640465000000</v>
      </c>
      <c r="G80" s="22" t="n">
        <v>3359696660</v>
      </c>
      <c r="H80" s="23" t="n">
        <v>-0.00803648446851961</v>
      </c>
      <c r="I80" s="14" t="s">
        <v>20</v>
      </c>
      <c r="J80" s="19" t="s">
        <v>45</v>
      </c>
    </row>
    <row r="81" customFormat="false" ht="15.75" hidden="false" customHeight="true" outlineLevel="0" collapsed="false">
      <c r="A81" s="39" t="n">
        <v>46082</v>
      </c>
      <c r="B81" s="4" t="s">
        <v>63</v>
      </c>
      <c r="C81" s="5" t="s">
        <v>64</v>
      </c>
      <c r="D81" s="6" t="s">
        <v>65</v>
      </c>
      <c r="E81" s="40" t="n">
        <v>0.1261</v>
      </c>
      <c r="F81" s="41" t="n">
        <v>6502193869</v>
      </c>
      <c r="G81" s="10" t="n">
        <v>833581254</v>
      </c>
      <c r="H81" s="12" t="n">
        <v>0.00192955696957101</v>
      </c>
      <c r="I81" s="27" t="s">
        <v>28</v>
      </c>
      <c r="J81" s="6" t="s">
        <v>45</v>
      </c>
    </row>
  </sheetData>
  <autoFilter ref="A3:J81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20"/>
    <col collapsed="false" customWidth="true" hidden="false" outlineLevel="0" max="5" min="5" style="0" width="28"/>
  </cols>
  <sheetData>
    <row r="1" customFormat="false" ht="19.5" hidden="false" customHeight="true" outlineLevel="0" collapsed="false">
      <c r="A1" s="1" t="s">
        <v>73</v>
      </c>
      <c r="B1" s="1"/>
      <c r="C1" s="1"/>
      <c r="D1" s="1"/>
      <c r="E1" s="1"/>
    </row>
    <row r="3" customFormat="false" ht="15" hidden="false" customHeight="false" outlineLevel="0" collapsed="false">
      <c r="A3" s="3" t="s">
        <v>74</v>
      </c>
      <c r="B3" s="3" t="s">
        <v>75</v>
      </c>
      <c r="C3" s="3" t="s">
        <v>76</v>
      </c>
      <c r="D3" s="3" t="s">
        <v>77</v>
      </c>
      <c r="E3" s="3" t="s">
        <v>15</v>
      </c>
    </row>
    <row r="4" customFormat="false" ht="15.75" hidden="false" customHeight="true" outlineLevel="0" collapsed="false">
      <c r="A4" s="4" t="s">
        <v>78</v>
      </c>
      <c r="B4" s="42" t="n">
        <v>1</v>
      </c>
      <c r="C4" s="5" t="s">
        <v>79</v>
      </c>
      <c r="D4" s="5" t="s">
        <v>80</v>
      </c>
      <c r="E4" s="5" t="s">
        <v>81</v>
      </c>
    </row>
    <row r="5" customFormat="false" ht="15.75" hidden="false" customHeight="true" outlineLevel="0" collapsed="false">
      <c r="A5" s="17" t="s">
        <v>82</v>
      </c>
      <c r="B5" s="43" t="n">
        <v>0.7312</v>
      </c>
      <c r="C5" s="18" t="s">
        <v>79</v>
      </c>
      <c r="D5" s="18" t="s">
        <v>80</v>
      </c>
      <c r="E5" s="18" t="s">
        <v>81</v>
      </c>
    </row>
    <row r="6" customFormat="false" ht="15.75" hidden="false" customHeight="true" outlineLevel="0" collapsed="false">
      <c r="A6" s="4" t="s">
        <v>83</v>
      </c>
      <c r="B6" s="42" t="n">
        <v>0.1843</v>
      </c>
      <c r="C6" s="5" t="s">
        <v>79</v>
      </c>
      <c r="D6" s="5" t="s">
        <v>80</v>
      </c>
      <c r="E6" s="5" t="s">
        <v>81</v>
      </c>
    </row>
    <row r="7" customFormat="false" ht="15.75" hidden="false" customHeight="true" outlineLevel="0" collapsed="false">
      <c r="A7" s="17" t="s">
        <v>84</v>
      </c>
      <c r="B7" s="43" t="n">
        <v>0.0521</v>
      </c>
      <c r="C7" s="18" t="s">
        <v>79</v>
      </c>
      <c r="D7" s="18" t="s">
        <v>80</v>
      </c>
      <c r="E7" s="18" t="s">
        <v>81</v>
      </c>
    </row>
    <row r="8" customFormat="false" ht="15.75" hidden="false" customHeight="true" outlineLevel="0" collapsed="false">
      <c r="A8" s="4" t="s">
        <v>85</v>
      </c>
      <c r="B8" s="42" t="n">
        <v>1.2634</v>
      </c>
      <c r="C8" s="5" t="s">
        <v>79</v>
      </c>
      <c r="D8" s="5" t="s">
        <v>80</v>
      </c>
      <c r="E8" s="5" t="s">
        <v>81</v>
      </c>
    </row>
    <row r="9" customFormat="false" ht="15.75" hidden="false" customHeight="true" outlineLevel="0" collapsed="false">
      <c r="A9" s="17" t="s">
        <v>86</v>
      </c>
      <c r="B9" s="43" t="n">
        <v>1.0821</v>
      </c>
      <c r="C9" s="18" t="s">
        <v>79</v>
      </c>
      <c r="D9" s="18" t="s">
        <v>80</v>
      </c>
      <c r="E9" s="18" t="s">
        <v>81</v>
      </c>
    </row>
    <row r="10" customFormat="false" ht="15.75" hidden="false" customHeight="true" outlineLevel="0" collapsed="false">
      <c r="A10" s="4" t="s">
        <v>87</v>
      </c>
      <c r="B10" s="42" t="n">
        <v>0.00667</v>
      </c>
      <c r="C10" s="5" t="s">
        <v>79</v>
      </c>
      <c r="D10" s="5" t="s">
        <v>80</v>
      </c>
      <c r="E10" s="5" t="s">
        <v>81</v>
      </c>
    </row>
    <row r="11" customFormat="false" ht="15.75" hidden="false" customHeight="true" outlineLevel="0" collapsed="false">
      <c r="A11" s="17" t="s">
        <v>88</v>
      </c>
      <c r="B11" s="43" t="n">
        <v>0.01196</v>
      </c>
      <c r="C11" s="18" t="s">
        <v>79</v>
      </c>
      <c r="D11" s="18" t="s">
        <v>80</v>
      </c>
      <c r="E11" s="18" t="s">
        <v>81</v>
      </c>
    </row>
    <row r="12" customFormat="false" ht="15.75" hidden="false" customHeight="true" outlineLevel="0" collapsed="false">
      <c r="A12" s="4" t="s">
        <v>89</v>
      </c>
      <c r="B12" s="42" t="n">
        <v>0.6341</v>
      </c>
      <c r="C12" s="5" t="s">
        <v>79</v>
      </c>
      <c r="D12" s="5" t="s">
        <v>80</v>
      </c>
      <c r="E12" s="5" t="s">
        <v>81</v>
      </c>
    </row>
    <row r="13" customFormat="false" ht="15.75" hidden="false" customHeight="true" outlineLevel="0" collapsed="false">
      <c r="A13" s="17" t="s">
        <v>90</v>
      </c>
      <c r="B13" s="43" t="n">
        <v>0.1376</v>
      </c>
      <c r="C13" s="18" t="s">
        <v>79</v>
      </c>
      <c r="D13" s="18" t="s">
        <v>80</v>
      </c>
      <c r="E13" s="18" t="s">
        <v>81</v>
      </c>
    </row>
    <row r="14" customFormat="false" ht="15.75" hidden="false" customHeight="true" outlineLevel="0" collapsed="false">
      <c r="A14" s="4" t="s">
        <v>91</v>
      </c>
      <c r="B14" s="42" t="n">
        <v>0.000724</v>
      </c>
      <c r="C14" s="5" t="s">
        <v>79</v>
      </c>
      <c r="D14" s="5" t="s">
        <v>80</v>
      </c>
      <c r="E14" s="5" t="s">
        <v>81</v>
      </c>
    </row>
    <row r="15" customFormat="false" ht="15.75" hidden="false" customHeight="true" outlineLevel="0" collapsed="false">
      <c r="A15" s="17" t="s">
        <v>92</v>
      </c>
      <c r="B15" s="43" t="n">
        <v>0.1282</v>
      </c>
      <c r="C15" s="18" t="s">
        <v>79</v>
      </c>
      <c r="D15" s="18" t="s">
        <v>80</v>
      </c>
      <c r="E15" s="18" t="s">
        <v>81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2026-04-08T04:13:14Z</dcterms:created>
  <dc:creator>openpyxl</dc:creator>
  <dc:description/>
  <dc:language>en-US</dc:language>
  <cp:lastModifiedBy/>
  <dcterms:modified xsi:type="dcterms:W3CDTF">2026-04-08T04:13:14Z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